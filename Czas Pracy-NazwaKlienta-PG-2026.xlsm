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PiotrDane\02 Firma\02 Nowy Kontrahent\03 NazwaKlienta\PGajewski\My Reports\"/>
    </mc:Choice>
  </mc:AlternateContent>
  <xr:revisionPtr revIDLastSave="0" documentId="13_ncr:1_{8B00694A-6DD4-45D2-8B64-B165491203B7}" xr6:coauthVersionLast="47" xr6:coauthVersionMax="47" xr10:uidLastSave="{00000000-0000-0000-0000-000000000000}"/>
  <bookViews>
    <workbookView xWindow="-28920" yWindow="-2235" windowWidth="29040" windowHeight="15720" xr2:uid="{00000000-000D-0000-FFFF-FFFF00000000}"/>
  </bookViews>
  <sheets>
    <sheet name="Styczeń 2026" sheetId="15" r:id="rId1"/>
    <sheet name="Luty 2026" sheetId="16" r:id="rId2"/>
    <sheet name="Marzec 2026" sheetId="17" r:id="rId3"/>
    <sheet name="Kwiecień 2026" sheetId="18" r:id="rId4"/>
    <sheet name="Maj 2026" sheetId="19" r:id="rId5"/>
    <sheet name="Czerwiec 2026" sheetId="20" r:id="rId6"/>
    <sheet name="Lipiec 2026" sheetId="21" r:id="rId7"/>
    <sheet name="Sierpień 2026" sheetId="22" r:id="rId8"/>
    <sheet name="Wrzesień 2026" sheetId="23" r:id="rId9"/>
    <sheet name="Październik 2026" sheetId="24" r:id="rId10"/>
    <sheet name="Listopad 2026" sheetId="25" r:id="rId11"/>
    <sheet name="Grudzień 2026" sheetId="2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26" l="1"/>
  <c r="C36" i="25"/>
  <c r="C37" i="24"/>
  <c r="C36" i="23"/>
  <c r="C37" i="22"/>
  <c r="C37" i="21"/>
  <c r="C36" i="20"/>
  <c r="C37" i="19"/>
  <c r="C36" i="18"/>
  <c r="C37" i="17"/>
  <c r="C34" i="16"/>
  <c r="C37" i="15"/>
  <c r="E30" i="16"/>
  <c r="E5" i="15"/>
  <c r="E6" i="15"/>
  <c r="G6" i="15" s="1"/>
  <c r="E7" i="15"/>
  <c r="G7" i="15" s="1"/>
  <c r="E8" i="15"/>
  <c r="E9" i="15"/>
  <c r="E10" i="15"/>
  <c r="E11" i="15"/>
  <c r="E12" i="15"/>
  <c r="E13" i="15"/>
  <c r="G13" i="15" s="1"/>
  <c r="E14" i="15"/>
  <c r="G14" i="15" s="1"/>
  <c r="E15" i="15"/>
  <c r="E16" i="15"/>
  <c r="E17" i="15"/>
  <c r="E18" i="15"/>
  <c r="E19" i="15"/>
  <c r="E20" i="15"/>
  <c r="G20" i="15" s="1"/>
  <c r="E21" i="15"/>
  <c r="G21" i="15" s="1"/>
  <c r="E22" i="15"/>
  <c r="E23" i="15"/>
  <c r="E24" i="15"/>
  <c r="E25" i="15"/>
  <c r="E26" i="15"/>
  <c r="E27" i="15"/>
  <c r="G27" i="15" s="1"/>
  <c r="E28" i="15"/>
  <c r="G28" i="15" s="1"/>
  <c r="E29" i="15"/>
  <c r="E30" i="15"/>
  <c r="E31" i="15"/>
  <c r="E32" i="15"/>
  <c r="E33" i="15"/>
  <c r="E34" i="15"/>
  <c r="E5" i="16"/>
  <c r="E6" i="16"/>
  <c r="E7" i="16"/>
  <c r="E8" i="16"/>
  <c r="E9" i="16"/>
  <c r="E10" i="16"/>
  <c r="G10" i="16" s="1"/>
  <c r="E11" i="16"/>
  <c r="G11" i="16" s="1"/>
  <c r="E12" i="16"/>
  <c r="E13" i="16"/>
  <c r="E14" i="16"/>
  <c r="E15" i="16"/>
  <c r="E16" i="16"/>
  <c r="E17" i="16"/>
  <c r="G17" i="16" s="1"/>
  <c r="E18" i="16"/>
  <c r="G18" i="16" s="1"/>
  <c r="E19" i="16"/>
  <c r="E20" i="16"/>
  <c r="E21" i="16"/>
  <c r="E22" i="16"/>
  <c r="E23" i="16"/>
  <c r="E24" i="16"/>
  <c r="G24" i="16" s="1"/>
  <c r="E25" i="16"/>
  <c r="G25" i="16" s="1"/>
  <c r="E26" i="16"/>
  <c r="E27" i="16"/>
  <c r="E28" i="16"/>
  <c r="E29" i="16"/>
  <c r="E31" i="16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G24" i="17" s="1"/>
  <c r="E25" i="17"/>
  <c r="G25" i="17" s="1"/>
  <c r="E26" i="17"/>
  <c r="E27" i="17"/>
  <c r="E28" i="17"/>
  <c r="E29" i="17"/>
  <c r="E30" i="17"/>
  <c r="E31" i="17"/>
  <c r="E32" i="17"/>
  <c r="E33" i="17"/>
  <c r="E34" i="17"/>
  <c r="G10" i="17"/>
  <c r="G11" i="17"/>
  <c r="G17" i="17"/>
  <c r="G18" i="17"/>
  <c r="E5" i="19" l="1"/>
  <c r="G5" i="19" s="1"/>
  <c r="E8" i="18"/>
  <c r="G8" i="18" s="1"/>
  <c r="A27" i="22" a="1"/>
  <c r="B27" i="22" s="1"/>
  <c r="A5" i="26" a="1"/>
  <c r="B5" i="26" s="1"/>
  <c r="A6" i="26" a="1"/>
  <c r="B6" i="26" s="1"/>
  <c r="A7" i="26" a="1"/>
  <c r="B7" i="26" s="1"/>
  <c r="A8" i="26" a="1"/>
  <c r="B8" i="26" s="1"/>
  <c r="A9" i="26" a="1"/>
  <c r="B9" i="26" s="1"/>
  <c r="A10" i="26" a="1"/>
  <c r="B10" i="26" s="1"/>
  <c r="A11" i="26" a="1"/>
  <c r="B11" i="26" s="1"/>
  <c r="A12" i="26" a="1"/>
  <c r="B12" i="26" s="1"/>
  <c r="A13" i="26" a="1"/>
  <c r="B13" i="26" s="1"/>
  <c r="A14" i="26" a="1"/>
  <c r="B14" i="26" s="1"/>
  <c r="A15" i="26" a="1"/>
  <c r="B15" i="26" s="1"/>
  <c r="A16" i="26" a="1"/>
  <c r="B16" i="26" s="1"/>
  <c r="A17" i="26" a="1"/>
  <c r="B17" i="26" s="1"/>
  <c r="A18" i="26" a="1"/>
  <c r="B18" i="26" s="1"/>
  <c r="A19" i="26" a="1"/>
  <c r="B19" i="26" s="1"/>
  <c r="A20" i="26" a="1"/>
  <c r="B20" i="26" s="1"/>
  <c r="A21" i="26" a="1"/>
  <c r="B21" i="26" s="1"/>
  <c r="A22" i="26" a="1"/>
  <c r="B22" i="26" s="1"/>
  <c r="A23" i="26" a="1"/>
  <c r="B23" i="26" s="1"/>
  <c r="A24" i="26" a="1"/>
  <c r="B24" i="26" s="1"/>
  <c r="A25" i="26" a="1"/>
  <c r="B25" i="26" s="1"/>
  <c r="A26" i="26" a="1"/>
  <c r="B26" i="26" s="1"/>
  <c r="A27" i="26" a="1"/>
  <c r="B27" i="26" s="1"/>
  <c r="A28" i="26" a="1"/>
  <c r="B28" i="26" s="1"/>
  <c r="A29" i="26" a="1"/>
  <c r="B29" i="26" s="1"/>
  <c r="A30" i="26" a="1"/>
  <c r="B30" i="26" s="1"/>
  <c r="A31" i="26" a="1"/>
  <c r="B31" i="26" s="1"/>
  <c r="A32" i="26" a="1"/>
  <c r="B32" i="26" s="1"/>
  <c r="A33" i="26" a="1"/>
  <c r="B33" i="26" s="1"/>
  <c r="A34" i="26" a="1"/>
  <c r="B34" i="26" s="1"/>
  <c r="A4" i="26" a="1"/>
  <c r="B4" i="26" s="1"/>
  <c r="A5" i="25" a="1"/>
  <c r="B5" i="25" s="1"/>
  <c r="A6" i="25" a="1"/>
  <c r="B6" i="25" s="1"/>
  <c r="A7" i="25" a="1"/>
  <c r="B7" i="25" s="1"/>
  <c r="A8" i="25" a="1"/>
  <c r="B8" i="25" s="1"/>
  <c r="A9" i="25" a="1"/>
  <c r="B9" i="25" s="1"/>
  <c r="A10" i="25" a="1"/>
  <c r="B10" i="25" s="1"/>
  <c r="A11" i="25" a="1"/>
  <c r="B11" i="25" s="1"/>
  <c r="A12" i="25" a="1"/>
  <c r="B12" i="25" s="1"/>
  <c r="A13" i="25" a="1"/>
  <c r="B13" i="25" s="1"/>
  <c r="A14" i="25" a="1"/>
  <c r="B14" i="25" s="1"/>
  <c r="A15" i="25" a="1"/>
  <c r="B15" i="25" s="1"/>
  <c r="A16" i="25" a="1"/>
  <c r="B16" i="25" s="1"/>
  <c r="A17" i="25" a="1"/>
  <c r="B17" i="25" s="1"/>
  <c r="A18" i="25" a="1"/>
  <c r="B18" i="25" s="1"/>
  <c r="A19" i="25" a="1"/>
  <c r="B19" i="25" s="1"/>
  <c r="A20" i="25" a="1"/>
  <c r="B20" i="25" s="1"/>
  <c r="A21" i="25" a="1"/>
  <c r="B21" i="25" s="1"/>
  <c r="A22" i="25" a="1"/>
  <c r="B22" i="25" s="1"/>
  <c r="A23" i="25" a="1"/>
  <c r="B23" i="25" s="1"/>
  <c r="A24" i="25" a="1"/>
  <c r="B24" i="25" s="1"/>
  <c r="A25" i="25" a="1"/>
  <c r="B25" i="25" s="1"/>
  <c r="A26" i="25" a="1"/>
  <c r="B26" i="25" s="1"/>
  <c r="A27" i="25" a="1"/>
  <c r="B27" i="25" s="1"/>
  <c r="A28" i="25" a="1"/>
  <c r="B28" i="25" s="1"/>
  <c r="A29" i="25" a="1"/>
  <c r="B29" i="25" s="1"/>
  <c r="A30" i="25" a="1"/>
  <c r="B30" i="25" s="1"/>
  <c r="A31" i="25" a="1"/>
  <c r="B31" i="25" s="1"/>
  <c r="A32" i="25" a="1"/>
  <c r="B32" i="25" s="1"/>
  <c r="A33" i="25" a="1"/>
  <c r="B33" i="25" s="1"/>
  <c r="A4" i="25" a="1"/>
  <c r="B4" i="25" s="1"/>
  <c r="A5" i="24" a="1"/>
  <c r="B5" i="24" s="1"/>
  <c r="A6" i="24" a="1"/>
  <c r="B6" i="24" s="1"/>
  <c r="A7" i="24" a="1"/>
  <c r="B7" i="24" s="1"/>
  <c r="A8" i="24" a="1"/>
  <c r="B8" i="24" s="1"/>
  <c r="A9" i="24" a="1"/>
  <c r="B9" i="24" s="1"/>
  <c r="A10" i="24" a="1"/>
  <c r="B10" i="24" s="1"/>
  <c r="A11" i="24" a="1"/>
  <c r="B11" i="24" s="1"/>
  <c r="A12" i="24" a="1"/>
  <c r="B12" i="24" s="1"/>
  <c r="A13" i="24" a="1"/>
  <c r="B13" i="24" s="1"/>
  <c r="A14" i="24" a="1"/>
  <c r="B14" i="24" s="1"/>
  <c r="A15" i="24" a="1"/>
  <c r="B15" i="24" s="1"/>
  <c r="A16" i="24" a="1"/>
  <c r="B16" i="24" s="1"/>
  <c r="A17" i="24" a="1"/>
  <c r="B17" i="24" s="1"/>
  <c r="A18" i="24" a="1"/>
  <c r="B18" i="24" s="1"/>
  <c r="A19" i="24" a="1"/>
  <c r="B19" i="24" s="1"/>
  <c r="A20" i="24" a="1"/>
  <c r="B20" i="24" s="1"/>
  <c r="A21" i="24" a="1"/>
  <c r="B21" i="24" s="1"/>
  <c r="A22" i="24" a="1"/>
  <c r="B22" i="24" s="1"/>
  <c r="A23" i="24" a="1"/>
  <c r="B23" i="24" s="1"/>
  <c r="A24" i="24" a="1"/>
  <c r="B24" i="24" s="1"/>
  <c r="A25" i="24" a="1"/>
  <c r="B25" i="24" s="1"/>
  <c r="A26" i="24" a="1"/>
  <c r="B26" i="24" s="1"/>
  <c r="A27" i="24" a="1"/>
  <c r="B27" i="24" s="1"/>
  <c r="A28" i="24" a="1"/>
  <c r="B28" i="24" s="1"/>
  <c r="A29" i="24" a="1"/>
  <c r="B29" i="24" s="1"/>
  <c r="A30" i="24" a="1"/>
  <c r="B30" i="24" s="1"/>
  <c r="A31" i="24" a="1"/>
  <c r="B31" i="24" s="1"/>
  <c r="A32" i="24" a="1"/>
  <c r="B32" i="24" s="1"/>
  <c r="A33" i="24" a="1"/>
  <c r="B33" i="24" s="1"/>
  <c r="A34" i="24" a="1"/>
  <c r="B34" i="24" s="1"/>
  <c r="A4" i="24" a="1"/>
  <c r="B4" i="24" s="1"/>
  <c r="A5" i="23" a="1"/>
  <c r="B5" i="23" s="1"/>
  <c r="A6" i="23" a="1"/>
  <c r="B6" i="23" s="1"/>
  <c r="A7" i="23" a="1"/>
  <c r="B7" i="23" s="1"/>
  <c r="A8" i="23" a="1"/>
  <c r="B8" i="23" s="1"/>
  <c r="A9" i="23" a="1"/>
  <c r="B9" i="23" s="1"/>
  <c r="A10" i="23" a="1"/>
  <c r="B10" i="23" s="1"/>
  <c r="A11" i="23" a="1"/>
  <c r="B11" i="23" s="1"/>
  <c r="A12" i="23" a="1"/>
  <c r="B12" i="23" s="1"/>
  <c r="A13" i="23" a="1"/>
  <c r="B13" i="23" s="1"/>
  <c r="A14" i="23" a="1"/>
  <c r="B14" i="23" s="1"/>
  <c r="A15" i="23" a="1"/>
  <c r="B15" i="23" s="1"/>
  <c r="A16" i="23" a="1"/>
  <c r="B16" i="23" s="1"/>
  <c r="A17" i="23" a="1"/>
  <c r="B17" i="23" s="1"/>
  <c r="A18" i="23" a="1"/>
  <c r="B18" i="23" s="1"/>
  <c r="A19" i="23" a="1"/>
  <c r="B19" i="23" s="1"/>
  <c r="A20" i="23" a="1"/>
  <c r="B20" i="23" s="1"/>
  <c r="A21" i="23" a="1"/>
  <c r="B21" i="23" s="1"/>
  <c r="A22" i="23" a="1"/>
  <c r="B22" i="23" s="1"/>
  <c r="A23" i="23" a="1"/>
  <c r="B23" i="23" s="1"/>
  <c r="A24" i="23" a="1"/>
  <c r="B24" i="23" s="1"/>
  <c r="A25" i="23" a="1"/>
  <c r="B25" i="23" s="1"/>
  <c r="A26" i="23" a="1"/>
  <c r="B26" i="23" s="1"/>
  <c r="A27" i="23" a="1"/>
  <c r="B27" i="23" s="1"/>
  <c r="A28" i="23" a="1"/>
  <c r="B28" i="23" s="1"/>
  <c r="A29" i="23" a="1"/>
  <c r="B29" i="23" s="1"/>
  <c r="A30" i="23" a="1"/>
  <c r="B30" i="23" s="1"/>
  <c r="A31" i="23" a="1"/>
  <c r="B31" i="23" s="1"/>
  <c r="A32" i="23" a="1"/>
  <c r="B32" i="23" s="1"/>
  <c r="A33" i="23" a="1"/>
  <c r="B33" i="23" s="1"/>
  <c r="A4" i="23" a="1"/>
  <c r="B4" i="23" s="1"/>
  <c r="A5" i="22" a="1"/>
  <c r="B5" i="22" s="1"/>
  <c r="A6" i="22" a="1"/>
  <c r="B6" i="22" s="1"/>
  <c r="A7" i="22" a="1"/>
  <c r="B7" i="22" s="1"/>
  <c r="A8" i="22" a="1"/>
  <c r="B8" i="22" s="1"/>
  <c r="A9" i="22" a="1"/>
  <c r="B9" i="22" s="1"/>
  <c r="A10" i="22" a="1"/>
  <c r="B10" i="22" s="1"/>
  <c r="A11" i="22" a="1"/>
  <c r="B11" i="22" s="1"/>
  <c r="A12" i="22" a="1"/>
  <c r="B12" i="22" s="1"/>
  <c r="A13" i="22" a="1"/>
  <c r="B13" i="22" s="1"/>
  <c r="A14" i="22" a="1"/>
  <c r="B14" i="22" s="1"/>
  <c r="A15" i="22" a="1"/>
  <c r="B15" i="22" s="1"/>
  <c r="A16" i="22" a="1"/>
  <c r="B16" i="22" s="1"/>
  <c r="A17" i="22" a="1"/>
  <c r="B17" i="22" s="1"/>
  <c r="A18" i="22" a="1"/>
  <c r="B18" i="22" s="1"/>
  <c r="A19" i="22" a="1"/>
  <c r="B19" i="22" s="1"/>
  <c r="A20" i="22" a="1"/>
  <c r="B20" i="22" s="1"/>
  <c r="A21" i="22" a="1"/>
  <c r="B21" i="22" s="1"/>
  <c r="A22" i="22" a="1"/>
  <c r="B22" i="22" s="1"/>
  <c r="A23" i="22" a="1"/>
  <c r="B23" i="22" s="1"/>
  <c r="A24" i="22" a="1"/>
  <c r="B24" i="22" s="1"/>
  <c r="A25" i="22" a="1"/>
  <c r="B25" i="22" s="1"/>
  <c r="A26" i="22" a="1"/>
  <c r="B26" i="22" s="1"/>
  <c r="A28" i="22" a="1"/>
  <c r="B28" i="22" s="1"/>
  <c r="A29" i="22" a="1"/>
  <c r="B29" i="22" s="1"/>
  <c r="A30" i="22" a="1"/>
  <c r="B30" i="22" s="1"/>
  <c r="A31" i="22" a="1"/>
  <c r="B31" i="22" s="1"/>
  <c r="A32" i="22" a="1"/>
  <c r="B32" i="22" s="1"/>
  <c r="A33" i="22" a="1"/>
  <c r="B33" i="22" s="1"/>
  <c r="A34" i="22" a="1"/>
  <c r="B34" i="22" s="1"/>
  <c r="A4" i="22" a="1"/>
  <c r="B4" i="22" s="1"/>
  <c r="A5" i="21" a="1"/>
  <c r="B5" i="21" s="1"/>
  <c r="A6" i="21" a="1"/>
  <c r="B6" i="21" s="1"/>
  <c r="A7" i="21" a="1"/>
  <c r="B7" i="21" s="1"/>
  <c r="A8" i="21" a="1"/>
  <c r="B8" i="21" s="1"/>
  <c r="A9" i="21" a="1"/>
  <c r="B9" i="21" s="1"/>
  <c r="A10" i="21" a="1"/>
  <c r="B10" i="21" s="1"/>
  <c r="A11" i="21" a="1"/>
  <c r="B11" i="21" s="1"/>
  <c r="A12" i="21" a="1"/>
  <c r="B12" i="21" s="1"/>
  <c r="A13" i="21" a="1"/>
  <c r="B13" i="21" s="1"/>
  <c r="A14" i="21" a="1"/>
  <c r="B14" i="21" s="1"/>
  <c r="A15" i="21" a="1"/>
  <c r="B15" i="21" s="1"/>
  <c r="A16" i="21" a="1"/>
  <c r="B16" i="21" s="1"/>
  <c r="A17" i="21" a="1"/>
  <c r="B17" i="21" s="1"/>
  <c r="A18" i="21" a="1"/>
  <c r="B18" i="21" s="1"/>
  <c r="A19" i="21" a="1"/>
  <c r="B19" i="21" s="1"/>
  <c r="A20" i="21" a="1"/>
  <c r="B20" i="21" s="1"/>
  <c r="A21" i="21" a="1"/>
  <c r="B21" i="21" s="1"/>
  <c r="A22" i="21" a="1"/>
  <c r="B22" i="21" s="1"/>
  <c r="A23" i="21" a="1"/>
  <c r="B23" i="21" s="1"/>
  <c r="A24" i="21" a="1"/>
  <c r="B24" i="21" s="1"/>
  <c r="A25" i="21" a="1"/>
  <c r="B25" i="21" s="1"/>
  <c r="A26" i="21" a="1"/>
  <c r="B26" i="21" s="1"/>
  <c r="A27" i="21" a="1"/>
  <c r="B27" i="21" s="1"/>
  <c r="A28" i="21" a="1"/>
  <c r="B28" i="21" s="1"/>
  <c r="A29" i="21" a="1"/>
  <c r="B29" i="21" s="1"/>
  <c r="A30" i="21" a="1"/>
  <c r="B30" i="21" s="1"/>
  <c r="A31" i="21" a="1"/>
  <c r="B31" i="21" s="1"/>
  <c r="A32" i="21" a="1"/>
  <c r="B32" i="21" s="1"/>
  <c r="A33" i="21" a="1"/>
  <c r="B33" i="21" s="1"/>
  <c r="A34" i="21" a="1"/>
  <c r="B34" i="21" s="1"/>
  <c r="A4" i="21" a="1"/>
  <c r="B4" i="21" s="1"/>
  <c r="A5" i="20" a="1"/>
  <c r="B5" i="20" s="1"/>
  <c r="A6" i="20" a="1"/>
  <c r="B6" i="20" s="1"/>
  <c r="A7" i="20" a="1"/>
  <c r="B7" i="20" s="1"/>
  <c r="A8" i="20" a="1"/>
  <c r="B8" i="20" s="1"/>
  <c r="A9" i="20" a="1"/>
  <c r="B9" i="20" s="1"/>
  <c r="A10" i="20" a="1"/>
  <c r="B10" i="20" s="1"/>
  <c r="A11" i="20" a="1"/>
  <c r="B11" i="20" s="1"/>
  <c r="A12" i="20" a="1"/>
  <c r="B12" i="20" s="1"/>
  <c r="A13" i="20" a="1"/>
  <c r="B13" i="20" s="1"/>
  <c r="A14" i="20" a="1"/>
  <c r="B14" i="20" s="1"/>
  <c r="A15" i="20" a="1"/>
  <c r="B15" i="20" s="1"/>
  <c r="A16" i="20" a="1"/>
  <c r="B16" i="20" s="1"/>
  <c r="A17" i="20" a="1"/>
  <c r="B17" i="20" s="1"/>
  <c r="A18" i="20" a="1"/>
  <c r="B18" i="20" s="1"/>
  <c r="A19" i="20" a="1"/>
  <c r="B19" i="20" s="1"/>
  <c r="A20" i="20" a="1"/>
  <c r="B20" i="20" s="1"/>
  <c r="A21" i="20" a="1"/>
  <c r="B21" i="20" s="1"/>
  <c r="A22" i="20" a="1"/>
  <c r="B22" i="20" s="1"/>
  <c r="A23" i="20" a="1"/>
  <c r="B23" i="20" s="1"/>
  <c r="A24" i="20" a="1"/>
  <c r="B24" i="20" s="1"/>
  <c r="A25" i="20" a="1"/>
  <c r="B25" i="20" s="1"/>
  <c r="A26" i="20" a="1"/>
  <c r="B26" i="20" s="1"/>
  <c r="A27" i="20" a="1"/>
  <c r="B27" i="20" s="1"/>
  <c r="A28" i="20" a="1"/>
  <c r="B28" i="20" s="1"/>
  <c r="A29" i="20" a="1"/>
  <c r="B29" i="20" s="1"/>
  <c r="A30" i="20" a="1"/>
  <c r="B30" i="20" s="1"/>
  <c r="A31" i="20" a="1"/>
  <c r="B31" i="20" s="1"/>
  <c r="A32" i="20" a="1"/>
  <c r="B32" i="20" s="1"/>
  <c r="A33" i="20" a="1"/>
  <c r="B33" i="20" s="1"/>
  <c r="A4" i="20" a="1"/>
  <c r="B4" i="20" s="1"/>
  <c r="A5" i="19" a="1"/>
  <c r="B5" i="19" s="1"/>
  <c r="A6" i="19" a="1"/>
  <c r="B6" i="19" s="1"/>
  <c r="A7" i="19" a="1"/>
  <c r="B7" i="19" s="1"/>
  <c r="A8" i="19" a="1"/>
  <c r="B8" i="19" s="1"/>
  <c r="A9" i="19" a="1"/>
  <c r="B9" i="19" s="1"/>
  <c r="A10" i="19" a="1"/>
  <c r="B10" i="19" s="1"/>
  <c r="A11" i="19" a="1"/>
  <c r="B11" i="19" s="1"/>
  <c r="A12" i="19" a="1"/>
  <c r="B12" i="19" s="1"/>
  <c r="A13" i="19" a="1"/>
  <c r="B13" i="19" s="1"/>
  <c r="A14" i="19" a="1"/>
  <c r="B14" i="19" s="1"/>
  <c r="A15" i="19" a="1"/>
  <c r="B15" i="19" s="1"/>
  <c r="A16" i="19" a="1"/>
  <c r="B16" i="19" s="1"/>
  <c r="A17" i="19" a="1"/>
  <c r="B17" i="19" s="1"/>
  <c r="A18" i="19" a="1"/>
  <c r="B18" i="19" s="1"/>
  <c r="A19" i="19" a="1"/>
  <c r="B19" i="19" s="1"/>
  <c r="A20" i="19" a="1"/>
  <c r="B20" i="19" s="1"/>
  <c r="A21" i="19" a="1"/>
  <c r="B21" i="19" s="1"/>
  <c r="A22" i="19" a="1"/>
  <c r="B22" i="19" s="1"/>
  <c r="A23" i="19" a="1"/>
  <c r="B23" i="19" s="1"/>
  <c r="A24" i="19" a="1"/>
  <c r="B24" i="19" s="1"/>
  <c r="A25" i="19" a="1"/>
  <c r="B25" i="19" s="1"/>
  <c r="A26" i="19" a="1"/>
  <c r="B26" i="19" s="1"/>
  <c r="A27" i="19" a="1"/>
  <c r="B27" i="19" s="1"/>
  <c r="A28" i="19" a="1"/>
  <c r="B28" i="19" s="1"/>
  <c r="A29" i="19" a="1"/>
  <c r="B29" i="19" s="1"/>
  <c r="A30" i="19" a="1"/>
  <c r="B30" i="19" s="1"/>
  <c r="A31" i="19" a="1"/>
  <c r="B31" i="19" s="1"/>
  <c r="A32" i="19" a="1"/>
  <c r="B32" i="19" s="1"/>
  <c r="A33" i="19" a="1"/>
  <c r="B33" i="19" s="1"/>
  <c r="A34" i="19" a="1"/>
  <c r="B34" i="19" s="1"/>
  <c r="A4" i="19" a="1"/>
  <c r="B4" i="19" s="1"/>
  <c r="A5" i="18" a="1"/>
  <c r="B5" i="18" s="1"/>
  <c r="A6" i="18" a="1"/>
  <c r="B6" i="18" s="1"/>
  <c r="A7" i="18" a="1"/>
  <c r="B7" i="18" s="1"/>
  <c r="A8" i="18" a="1"/>
  <c r="B8" i="18" s="1"/>
  <c r="A9" i="18" a="1"/>
  <c r="B9" i="18" s="1"/>
  <c r="A10" i="18" a="1"/>
  <c r="B10" i="18" s="1"/>
  <c r="A11" i="18" a="1"/>
  <c r="B11" i="18" s="1"/>
  <c r="A12" i="18" a="1"/>
  <c r="B12" i="18" s="1"/>
  <c r="A13" i="18" a="1"/>
  <c r="B13" i="18" s="1"/>
  <c r="A14" i="18" a="1"/>
  <c r="B14" i="18" s="1"/>
  <c r="A15" i="18" a="1"/>
  <c r="B15" i="18" s="1"/>
  <c r="A16" i="18" a="1"/>
  <c r="B16" i="18" s="1"/>
  <c r="A17" i="18" a="1"/>
  <c r="B17" i="18" s="1"/>
  <c r="A18" i="18" a="1"/>
  <c r="B18" i="18" s="1"/>
  <c r="A19" i="18" a="1"/>
  <c r="B19" i="18" s="1"/>
  <c r="A20" i="18" a="1"/>
  <c r="B20" i="18" s="1"/>
  <c r="A21" i="18" a="1"/>
  <c r="B21" i="18" s="1"/>
  <c r="A22" i="18" a="1"/>
  <c r="B22" i="18" s="1"/>
  <c r="A23" i="18" a="1"/>
  <c r="B23" i="18" s="1"/>
  <c r="A24" i="18" a="1"/>
  <c r="B24" i="18" s="1"/>
  <c r="A25" i="18" a="1"/>
  <c r="B25" i="18" s="1"/>
  <c r="A26" i="18" a="1"/>
  <c r="B26" i="18" s="1"/>
  <c r="A27" i="18" a="1"/>
  <c r="B27" i="18" s="1"/>
  <c r="A28" i="18" a="1"/>
  <c r="B28" i="18" s="1"/>
  <c r="A29" i="18" a="1"/>
  <c r="B29" i="18" s="1"/>
  <c r="A30" i="18" a="1"/>
  <c r="B30" i="18" s="1"/>
  <c r="A31" i="18" a="1"/>
  <c r="B31" i="18" s="1"/>
  <c r="A32" i="18" a="1"/>
  <c r="B32" i="18" s="1"/>
  <c r="A33" i="18" a="1"/>
  <c r="B33" i="18" s="1"/>
  <c r="A4" i="18" a="1"/>
  <c r="B4" i="18" s="1"/>
  <c r="A5" i="17" a="1"/>
  <c r="B5" i="17" s="1"/>
  <c r="A6" i="17" a="1"/>
  <c r="B6" i="17" s="1"/>
  <c r="A7" i="17" a="1"/>
  <c r="B7" i="17" s="1"/>
  <c r="A8" i="17" a="1"/>
  <c r="B8" i="17" s="1"/>
  <c r="A9" i="17" a="1"/>
  <c r="B9" i="17" s="1"/>
  <c r="A10" i="17" a="1"/>
  <c r="B10" i="17" s="1"/>
  <c r="H10" i="17" s="1"/>
  <c r="A11" i="17" a="1"/>
  <c r="B11" i="17" s="1"/>
  <c r="H11" i="17" s="1"/>
  <c r="A12" i="17" a="1"/>
  <c r="B12" i="17" s="1"/>
  <c r="A13" i="17" a="1"/>
  <c r="B13" i="17" s="1"/>
  <c r="A14" i="17" a="1"/>
  <c r="B14" i="17" s="1"/>
  <c r="A15" i="17" a="1"/>
  <c r="B15" i="17" s="1"/>
  <c r="A16" i="17" a="1"/>
  <c r="B16" i="17" s="1"/>
  <c r="A17" i="17" a="1"/>
  <c r="B17" i="17" s="1"/>
  <c r="H17" i="17" s="1"/>
  <c r="A18" i="17" a="1"/>
  <c r="B18" i="17" s="1"/>
  <c r="H18" i="17" s="1"/>
  <c r="A19" i="17" a="1"/>
  <c r="B19" i="17" s="1"/>
  <c r="A20" i="17" a="1"/>
  <c r="B20" i="17" s="1"/>
  <c r="A21" i="17" a="1"/>
  <c r="B21" i="17" s="1"/>
  <c r="A22" i="17" a="1"/>
  <c r="B22" i="17" s="1"/>
  <c r="A23" i="17" a="1"/>
  <c r="B23" i="17" s="1"/>
  <c r="A24" i="17" a="1"/>
  <c r="B24" i="17" s="1"/>
  <c r="H24" i="17" s="1"/>
  <c r="A25" i="17" a="1"/>
  <c r="B25" i="17" s="1"/>
  <c r="H25" i="17" s="1"/>
  <c r="A26" i="17" a="1"/>
  <c r="B26" i="17" s="1"/>
  <c r="A27" i="17" a="1"/>
  <c r="B27" i="17" s="1"/>
  <c r="A28" i="17" a="1"/>
  <c r="B28" i="17" s="1"/>
  <c r="A29" i="17" a="1"/>
  <c r="B29" i="17" s="1"/>
  <c r="A30" i="17" a="1"/>
  <c r="B30" i="17" s="1"/>
  <c r="A31" i="17" a="1"/>
  <c r="B31" i="17" s="1"/>
  <c r="A32" i="17" a="1"/>
  <c r="B32" i="17" s="1"/>
  <c r="A33" i="17" a="1"/>
  <c r="B33" i="17" s="1"/>
  <c r="A34" i="17" a="1"/>
  <c r="B34" i="17" s="1"/>
  <c r="A4" i="17" a="1"/>
  <c r="B4" i="17" s="1"/>
  <c r="A5" i="16" a="1"/>
  <c r="B5" i="16" s="1"/>
  <c r="A6" i="16" a="1"/>
  <c r="B6" i="16" s="1"/>
  <c r="A7" i="16" a="1"/>
  <c r="B7" i="16" s="1"/>
  <c r="A8" i="16" a="1"/>
  <c r="B8" i="16" s="1"/>
  <c r="A9" i="16" a="1"/>
  <c r="B9" i="16" s="1"/>
  <c r="A10" i="16" a="1"/>
  <c r="B10" i="16" s="1"/>
  <c r="H10" i="16" s="1"/>
  <c r="A11" i="16" a="1"/>
  <c r="B11" i="16" s="1"/>
  <c r="H11" i="16" s="1"/>
  <c r="A12" i="16" a="1"/>
  <c r="B12" i="16" s="1"/>
  <c r="A13" i="16" a="1"/>
  <c r="B13" i="16" s="1"/>
  <c r="A14" i="16" a="1"/>
  <c r="B14" i="16" s="1"/>
  <c r="A15" i="16" a="1"/>
  <c r="B15" i="16" s="1"/>
  <c r="A16" i="16" a="1"/>
  <c r="B16" i="16" s="1"/>
  <c r="A17" i="16" a="1"/>
  <c r="B17" i="16" s="1"/>
  <c r="H17" i="16" s="1"/>
  <c r="A18" i="16" a="1"/>
  <c r="B18" i="16" s="1"/>
  <c r="H18" i="16" s="1"/>
  <c r="A19" i="16" a="1"/>
  <c r="B19" i="16" s="1"/>
  <c r="A20" i="16" a="1"/>
  <c r="B20" i="16" s="1"/>
  <c r="A21" i="16" a="1"/>
  <c r="B21" i="16" s="1"/>
  <c r="A22" i="16" a="1"/>
  <c r="B22" i="16" s="1"/>
  <c r="A23" i="16" a="1"/>
  <c r="B23" i="16" s="1"/>
  <c r="A24" i="16" a="1"/>
  <c r="B24" i="16" s="1"/>
  <c r="H24" i="16" s="1"/>
  <c r="A25" i="16" a="1"/>
  <c r="B25" i="16" s="1"/>
  <c r="H25" i="16" s="1"/>
  <c r="A26" i="16" a="1"/>
  <c r="B26" i="16" s="1"/>
  <c r="A27" i="16" a="1"/>
  <c r="B27" i="16" s="1"/>
  <c r="A28" i="16" a="1"/>
  <c r="B28" i="16" s="1"/>
  <c r="A29" i="16" a="1"/>
  <c r="B29" i="16" s="1"/>
  <c r="A30" i="16" a="1"/>
  <c r="B30" i="16" s="1"/>
  <c r="A31" i="16" a="1"/>
  <c r="B31" i="16" s="1"/>
  <c r="A4" i="16" a="1"/>
  <c r="B4" i="16" s="1"/>
  <c r="A5" i="15" a="1"/>
  <c r="A6" i="15" a="1"/>
  <c r="A7" i="15" a="1"/>
  <c r="A8" i="15" a="1"/>
  <c r="A9" i="15" a="1"/>
  <c r="A10" i="15" a="1"/>
  <c r="A11" i="15" a="1"/>
  <c r="A12" i="15" a="1"/>
  <c r="A13" i="15" a="1"/>
  <c r="A14" i="15" a="1"/>
  <c r="A15" i="15" a="1"/>
  <c r="A16" i="15" a="1"/>
  <c r="A17" i="15" a="1"/>
  <c r="A18" i="15" a="1"/>
  <c r="A19" i="15" a="1"/>
  <c r="A20" i="15" a="1"/>
  <c r="A21" i="15" a="1"/>
  <c r="A22" i="15" a="1"/>
  <c r="A23" i="15" a="1"/>
  <c r="A24" i="15" a="1"/>
  <c r="A25" i="15" a="1"/>
  <c r="A26" i="15" a="1"/>
  <c r="A27" i="15" a="1"/>
  <c r="A28" i="15" a="1"/>
  <c r="A29" i="15" a="1"/>
  <c r="A30" i="15" a="1"/>
  <c r="A31" i="15" a="1"/>
  <c r="A32" i="15" a="1"/>
  <c r="A33" i="15" a="1"/>
  <c r="A34" i="15" a="1"/>
  <c r="A4" i="15" a="1"/>
  <c r="E34" i="26"/>
  <c r="G34" i="26" s="1"/>
  <c r="E33" i="26"/>
  <c r="G33" i="26" s="1"/>
  <c r="E32" i="26"/>
  <c r="G32" i="26" s="1"/>
  <c r="E31" i="26"/>
  <c r="G31" i="26" s="1"/>
  <c r="E30" i="26"/>
  <c r="G30" i="26" s="1"/>
  <c r="E29" i="26"/>
  <c r="G29" i="26" s="1"/>
  <c r="E28" i="26"/>
  <c r="G28" i="26" s="1"/>
  <c r="E27" i="26"/>
  <c r="G27" i="26" s="1"/>
  <c r="E26" i="26"/>
  <c r="G26" i="26" s="1"/>
  <c r="E25" i="26"/>
  <c r="G25" i="26" s="1"/>
  <c r="E24" i="26"/>
  <c r="G24" i="26" s="1"/>
  <c r="E23" i="26"/>
  <c r="G23" i="26" s="1"/>
  <c r="E22" i="26"/>
  <c r="G22" i="26" s="1"/>
  <c r="E21" i="26"/>
  <c r="G21" i="26" s="1"/>
  <c r="E20" i="26"/>
  <c r="G20" i="26" s="1"/>
  <c r="E19" i="26"/>
  <c r="G19" i="26" s="1"/>
  <c r="E18" i="26"/>
  <c r="G18" i="26" s="1"/>
  <c r="E17" i="26"/>
  <c r="G17" i="26" s="1"/>
  <c r="E16" i="26"/>
  <c r="G16" i="26" s="1"/>
  <c r="E15" i="26"/>
  <c r="G15" i="26" s="1"/>
  <c r="E14" i="26"/>
  <c r="G14" i="26" s="1"/>
  <c r="E13" i="26"/>
  <c r="G13" i="26" s="1"/>
  <c r="E12" i="26"/>
  <c r="G12" i="26" s="1"/>
  <c r="E11" i="26"/>
  <c r="G11" i="26" s="1"/>
  <c r="E10" i="26"/>
  <c r="G10" i="26" s="1"/>
  <c r="E9" i="26"/>
  <c r="G9" i="26" s="1"/>
  <c r="E8" i="26"/>
  <c r="G8" i="26" s="1"/>
  <c r="E7" i="26"/>
  <c r="G7" i="26" s="1"/>
  <c r="E6" i="26"/>
  <c r="G6" i="26" s="1"/>
  <c r="E5" i="26"/>
  <c r="G5" i="26" s="1"/>
  <c r="E4" i="26"/>
  <c r="G4" i="26" s="1"/>
  <c r="E33" i="25"/>
  <c r="G33" i="25" s="1"/>
  <c r="E32" i="25"/>
  <c r="G32" i="25" s="1"/>
  <c r="E31" i="25"/>
  <c r="G31" i="25" s="1"/>
  <c r="E30" i="25"/>
  <c r="G30" i="25" s="1"/>
  <c r="E29" i="25"/>
  <c r="G29" i="25" s="1"/>
  <c r="E28" i="25"/>
  <c r="G28" i="25" s="1"/>
  <c r="E27" i="25"/>
  <c r="G27" i="25" s="1"/>
  <c r="E26" i="25"/>
  <c r="G26" i="25" s="1"/>
  <c r="E25" i="25"/>
  <c r="G25" i="25" s="1"/>
  <c r="E24" i="25"/>
  <c r="G24" i="25" s="1"/>
  <c r="E23" i="25"/>
  <c r="G23" i="25" s="1"/>
  <c r="E22" i="25"/>
  <c r="G22" i="25" s="1"/>
  <c r="E21" i="25"/>
  <c r="G21" i="25" s="1"/>
  <c r="E20" i="25"/>
  <c r="G20" i="25" s="1"/>
  <c r="E19" i="25"/>
  <c r="G19" i="25" s="1"/>
  <c r="E18" i="25"/>
  <c r="G18" i="25" s="1"/>
  <c r="E17" i="25"/>
  <c r="G17" i="25" s="1"/>
  <c r="E16" i="25"/>
  <c r="G16" i="25" s="1"/>
  <c r="E15" i="25"/>
  <c r="G15" i="25" s="1"/>
  <c r="E14" i="25"/>
  <c r="G14" i="25" s="1"/>
  <c r="E13" i="25"/>
  <c r="G13" i="25" s="1"/>
  <c r="E12" i="25"/>
  <c r="G12" i="25" s="1"/>
  <c r="E11" i="25"/>
  <c r="G11" i="25" s="1"/>
  <c r="E10" i="25"/>
  <c r="G10" i="25" s="1"/>
  <c r="E9" i="25"/>
  <c r="G9" i="25" s="1"/>
  <c r="E8" i="25"/>
  <c r="G8" i="25" s="1"/>
  <c r="E7" i="25"/>
  <c r="G7" i="25" s="1"/>
  <c r="E6" i="25"/>
  <c r="G6" i="25" s="1"/>
  <c r="E5" i="25"/>
  <c r="G5" i="25" s="1"/>
  <c r="E4" i="25"/>
  <c r="G4" i="25" s="1"/>
  <c r="E34" i="24"/>
  <c r="G34" i="24" s="1"/>
  <c r="E33" i="24"/>
  <c r="G33" i="24" s="1"/>
  <c r="E32" i="24"/>
  <c r="G32" i="24" s="1"/>
  <c r="E31" i="24"/>
  <c r="G31" i="24" s="1"/>
  <c r="E30" i="24"/>
  <c r="G30" i="24" s="1"/>
  <c r="E29" i="24"/>
  <c r="G29" i="24" s="1"/>
  <c r="E28" i="24"/>
  <c r="G28" i="24" s="1"/>
  <c r="E27" i="24"/>
  <c r="G27" i="24" s="1"/>
  <c r="E26" i="24"/>
  <c r="G26" i="24" s="1"/>
  <c r="E25" i="24"/>
  <c r="G25" i="24" s="1"/>
  <c r="E24" i="24"/>
  <c r="G24" i="24" s="1"/>
  <c r="E23" i="24"/>
  <c r="G23" i="24" s="1"/>
  <c r="E22" i="24"/>
  <c r="G22" i="24" s="1"/>
  <c r="E21" i="24"/>
  <c r="G21" i="24" s="1"/>
  <c r="E20" i="24"/>
  <c r="G20" i="24" s="1"/>
  <c r="E19" i="24"/>
  <c r="G19" i="24" s="1"/>
  <c r="E18" i="24"/>
  <c r="G18" i="24" s="1"/>
  <c r="E17" i="24"/>
  <c r="G17" i="24" s="1"/>
  <c r="E16" i="24"/>
  <c r="G16" i="24" s="1"/>
  <c r="E15" i="24"/>
  <c r="G15" i="24" s="1"/>
  <c r="E14" i="24"/>
  <c r="G14" i="24" s="1"/>
  <c r="E13" i="24"/>
  <c r="G13" i="24" s="1"/>
  <c r="E12" i="24"/>
  <c r="G12" i="24" s="1"/>
  <c r="E11" i="24"/>
  <c r="G11" i="24" s="1"/>
  <c r="E10" i="24"/>
  <c r="G10" i="24" s="1"/>
  <c r="E9" i="24"/>
  <c r="G9" i="24" s="1"/>
  <c r="E8" i="24"/>
  <c r="G8" i="24" s="1"/>
  <c r="E7" i="24"/>
  <c r="G7" i="24" s="1"/>
  <c r="E6" i="24"/>
  <c r="G6" i="24" s="1"/>
  <c r="E5" i="24"/>
  <c r="G5" i="24" s="1"/>
  <c r="E4" i="24"/>
  <c r="G4" i="24" s="1"/>
  <c r="E33" i="23"/>
  <c r="G33" i="23" s="1"/>
  <c r="E32" i="23"/>
  <c r="G32" i="23" s="1"/>
  <c r="E31" i="23"/>
  <c r="G31" i="23" s="1"/>
  <c r="E30" i="23"/>
  <c r="G30" i="23" s="1"/>
  <c r="E29" i="23"/>
  <c r="G29" i="23" s="1"/>
  <c r="E28" i="23"/>
  <c r="G28" i="23" s="1"/>
  <c r="E27" i="23"/>
  <c r="G27" i="23" s="1"/>
  <c r="E26" i="23"/>
  <c r="G26" i="23" s="1"/>
  <c r="E25" i="23"/>
  <c r="G25" i="23" s="1"/>
  <c r="E24" i="23"/>
  <c r="G24" i="23" s="1"/>
  <c r="E23" i="23"/>
  <c r="G23" i="23" s="1"/>
  <c r="E22" i="23"/>
  <c r="G22" i="23" s="1"/>
  <c r="E21" i="23"/>
  <c r="G21" i="23" s="1"/>
  <c r="E20" i="23"/>
  <c r="G20" i="23" s="1"/>
  <c r="E19" i="23"/>
  <c r="G19" i="23" s="1"/>
  <c r="E18" i="23"/>
  <c r="G18" i="23" s="1"/>
  <c r="E17" i="23"/>
  <c r="G17" i="23" s="1"/>
  <c r="E16" i="23"/>
  <c r="G16" i="23" s="1"/>
  <c r="E15" i="23"/>
  <c r="G15" i="23" s="1"/>
  <c r="E14" i="23"/>
  <c r="G14" i="23" s="1"/>
  <c r="E13" i="23"/>
  <c r="G13" i="23" s="1"/>
  <c r="E12" i="23"/>
  <c r="G12" i="23" s="1"/>
  <c r="E11" i="23"/>
  <c r="G11" i="23" s="1"/>
  <c r="E10" i="23"/>
  <c r="G10" i="23" s="1"/>
  <c r="E9" i="23"/>
  <c r="G9" i="23" s="1"/>
  <c r="E8" i="23"/>
  <c r="G8" i="23" s="1"/>
  <c r="E7" i="23"/>
  <c r="G7" i="23" s="1"/>
  <c r="E6" i="23"/>
  <c r="G6" i="23" s="1"/>
  <c r="E5" i="23"/>
  <c r="G5" i="23" s="1"/>
  <c r="E4" i="23"/>
  <c r="G4" i="23" s="1"/>
  <c r="E34" i="22"/>
  <c r="G34" i="22" s="1"/>
  <c r="E33" i="22"/>
  <c r="G33" i="22" s="1"/>
  <c r="E32" i="22"/>
  <c r="G32" i="22" s="1"/>
  <c r="E31" i="22"/>
  <c r="G31" i="22" s="1"/>
  <c r="E30" i="22"/>
  <c r="G30" i="22" s="1"/>
  <c r="E29" i="22"/>
  <c r="G29" i="22" s="1"/>
  <c r="E28" i="22"/>
  <c r="G28" i="22" s="1"/>
  <c r="E27" i="22"/>
  <c r="G27" i="22" s="1"/>
  <c r="E26" i="22"/>
  <c r="G26" i="22" s="1"/>
  <c r="E25" i="22"/>
  <c r="G25" i="22" s="1"/>
  <c r="E24" i="22"/>
  <c r="G24" i="22" s="1"/>
  <c r="E23" i="22"/>
  <c r="G23" i="22" s="1"/>
  <c r="E22" i="22"/>
  <c r="G22" i="22" s="1"/>
  <c r="E21" i="22"/>
  <c r="G21" i="22" s="1"/>
  <c r="E20" i="22"/>
  <c r="G20" i="22" s="1"/>
  <c r="E19" i="22"/>
  <c r="G19" i="22" s="1"/>
  <c r="E18" i="22"/>
  <c r="G18" i="22" s="1"/>
  <c r="E17" i="22"/>
  <c r="G17" i="22" s="1"/>
  <c r="E16" i="22"/>
  <c r="G16" i="22" s="1"/>
  <c r="E15" i="22"/>
  <c r="G15" i="22" s="1"/>
  <c r="E14" i="22"/>
  <c r="G14" i="22" s="1"/>
  <c r="E13" i="22"/>
  <c r="G13" i="22" s="1"/>
  <c r="E12" i="22"/>
  <c r="G12" i="22" s="1"/>
  <c r="E11" i="22"/>
  <c r="G11" i="22" s="1"/>
  <c r="E10" i="22"/>
  <c r="G10" i="22" s="1"/>
  <c r="E9" i="22"/>
  <c r="G9" i="22" s="1"/>
  <c r="E8" i="22"/>
  <c r="G8" i="22" s="1"/>
  <c r="E7" i="22"/>
  <c r="G7" i="22" s="1"/>
  <c r="E6" i="22"/>
  <c r="G6" i="22" s="1"/>
  <c r="E5" i="22"/>
  <c r="G5" i="22" s="1"/>
  <c r="E4" i="22"/>
  <c r="G4" i="22" s="1"/>
  <c r="H5" i="17" l="1"/>
  <c r="G5" i="17"/>
  <c r="H6" i="17"/>
  <c r="G6" i="17"/>
  <c r="H7" i="17"/>
  <c r="G7" i="17"/>
  <c r="H8" i="17"/>
  <c r="G8" i="17"/>
  <c r="H9" i="17"/>
  <c r="G9" i="17"/>
  <c r="H12" i="17"/>
  <c r="G12" i="17"/>
  <c r="H13" i="17"/>
  <c r="G13" i="17"/>
  <c r="H14" i="17"/>
  <c r="G14" i="17"/>
  <c r="H15" i="17"/>
  <c r="G15" i="17"/>
  <c r="H16" i="17"/>
  <c r="G16" i="17"/>
  <c r="H19" i="17"/>
  <c r="G19" i="17"/>
  <c r="H20" i="17"/>
  <c r="G20" i="17"/>
  <c r="H21" i="17"/>
  <c r="G21" i="17"/>
  <c r="H22" i="17"/>
  <c r="G22" i="17"/>
  <c r="H23" i="17"/>
  <c r="G23" i="17"/>
  <c r="H26" i="17"/>
  <c r="G26" i="17"/>
  <c r="H5" i="16"/>
  <c r="G5" i="16"/>
  <c r="H6" i="16"/>
  <c r="G6" i="16"/>
  <c r="H7" i="16"/>
  <c r="G7" i="16"/>
  <c r="H8" i="16"/>
  <c r="G8" i="16"/>
  <c r="H9" i="16"/>
  <c r="G9" i="16"/>
  <c r="H12" i="16"/>
  <c r="G12" i="16"/>
  <c r="H13" i="16"/>
  <c r="G13" i="16"/>
  <c r="H14" i="16"/>
  <c r="G14" i="16"/>
  <c r="H15" i="16"/>
  <c r="G15" i="16"/>
  <c r="H16" i="16"/>
  <c r="G16" i="16"/>
  <c r="H19" i="16"/>
  <c r="G19" i="16"/>
  <c r="H20" i="16"/>
  <c r="G20" i="16"/>
  <c r="H21" i="16"/>
  <c r="G21" i="16"/>
  <c r="H22" i="16"/>
  <c r="G22" i="16"/>
  <c r="H23" i="16"/>
  <c r="G23" i="16"/>
  <c r="H26" i="16"/>
  <c r="G26" i="16"/>
  <c r="H27" i="16"/>
  <c r="G27" i="16"/>
  <c r="H28" i="16"/>
  <c r="G28" i="16"/>
  <c r="H29" i="16"/>
  <c r="G29" i="16"/>
  <c r="H30" i="16"/>
  <c r="G30" i="16"/>
  <c r="H34" i="24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4" i="26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4" i="25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4" i="24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4" i="23"/>
  <c r="H27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9" i="22"/>
  <c r="H21" i="22"/>
  <c r="H23" i="22"/>
  <c r="H26" i="22"/>
  <c r="H29" i="22"/>
  <c r="H31" i="22"/>
  <c r="H33" i="22"/>
  <c r="H4" i="22"/>
  <c r="H18" i="22"/>
  <c r="H20" i="22"/>
  <c r="H22" i="22"/>
  <c r="H24" i="22"/>
  <c r="H25" i="22"/>
  <c r="H28" i="22"/>
  <c r="H30" i="22"/>
  <c r="H32" i="22"/>
  <c r="H34" i="22"/>
  <c r="H5" i="19"/>
  <c r="H8" i="18"/>
  <c r="B4" i="15"/>
  <c r="B30" i="15"/>
  <c r="B16" i="15"/>
  <c r="B26" i="15"/>
  <c r="B25" i="15"/>
  <c r="B33" i="15"/>
  <c r="B21" i="15"/>
  <c r="H21" i="15" s="1"/>
  <c r="B11" i="15"/>
  <c r="B15" i="15"/>
  <c r="B32" i="15"/>
  <c r="B20" i="15"/>
  <c r="H20" i="15" s="1"/>
  <c r="B10" i="15"/>
  <c r="B14" i="15"/>
  <c r="H14" i="15" s="1"/>
  <c r="B29" i="15"/>
  <c r="B19" i="15"/>
  <c r="B9" i="15"/>
  <c r="B7" i="15"/>
  <c r="H7" i="15" s="1"/>
  <c r="B13" i="15"/>
  <c r="H13" i="15" s="1"/>
  <c r="B23" i="15"/>
  <c r="B28" i="15"/>
  <c r="H28" i="15" s="1"/>
  <c r="B18" i="15"/>
  <c r="B8" i="15"/>
  <c r="B6" i="15"/>
  <c r="H6" i="15" s="1"/>
  <c r="B34" i="15"/>
  <c r="B24" i="15"/>
  <c r="B12" i="15"/>
  <c r="B22" i="15"/>
  <c r="B27" i="15"/>
  <c r="H27" i="15" s="1"/>
  <c r="B17" i="15"/>
  <c r="B5" i="15"/>
  <c r="B31" i="15"/>
  <c r="C35" i="26"/>
  <c r="C34" i="25"/>
  <c r="C35" i="24"/>
  <c r="A36" i="24" s="1"/>
  <c r="C34" i="23"/>
  <c r="C35" i="22"/>
  <c r="H30" i="15" l="1"/>
  <c r="G30" i="15"/>
  <c r="H16" i="15"/>
  <c r="G16" i="15"/>
  <c r="H26" i="15"/>
  <c r="G26" i="15"/>
  <c r="H25" i="15"/>
  <c r="G25" i="15"/>
  <c r="H33" i="15"/>
  <c r="G33" i="15"/>
  <c r="H11" i="15"/>
  <c r="G11" i="15"/>
  <c r="H15" i="15"/>
  <c r="G15" i="15"/>
  <c r="H32" i="15"/>
  <c r="G32" i="15"/>
  <c r="H10" i="15"/>
  <c r="G10" i="15"/>
  <c r="H29" i="15"/>
  <c r="G29" i="15"/>
  <c r="H19" i="15"/>
  <c r="G19" i="15"/>
  <c r="H9" i="15"/>
  <c r="G9" i="15"/>
  <c r="H23" i="15"/>
  <c r="G23" i="15"/>
  <c r="H18" i="15"/>
  <c r="G18" i="15"/>
  <c r="H8" i="15"/>
  <c r="G8" i="15"/>
  <c r="H24" i="15"/>
  <c r="G24" i="15"/>
  <c r="H12" i="15"/>
  <c r="G12" i="15"/>
  <c r="H22" i="15"/>
  <c r="G22" i="15"/>
  <c r="H17" i="15"/>
  <c r="G17" i="15"/>
  <c r="H5" i="15"/>
  <c r="G5" i="15"/>
  <c r="H31" i="15"/>
  <c r="G31" i="15"/>
  <c r="C36" i="26"/>
  <c r="A36" i="26"/>
  <c r="C35" i="25"/>
  <c r="A35" i="25"/>
  <c r="C35" i="23"/>
  <c r="A35" i="23"/>
  <c r="C36" i="22"/>
  <c r="A36" i="22"/>
  <c r="C36" i="24"/>
  <c r="C38" i="24" s="1"/>
  <c r="H35" i="26"/>
  <c r="G35" i="26"/>
  <c r="G34" i="25"/>
  <c r="H34" i="25"/>
  <c r="H35" i="24"/>
  <c r="G35" i="24"/>
  <c r="G34" i="23"/>
  <c r="H34" i="23"/>
  <c r="G35" i="22"/>
  <c r="H35" i="22"/>
  <c r="A38" i="22" l="1"/>
  <c r="C38" i="26"/>
  <c r="C37" i="25"/>
  <c r="C37" i="23"/>
  <c r="A38" i="26"/>
  <c r="A37" i="25"/>
  <c r="A38" i="24"/>
  <c r="A37" i="23"/>
  <c r="C38" i="22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4" i="20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4" i="19"/>
  <c r="E5" i="18"/>
  <c r="E6" i="18"/>
  <c r="E7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4" i="18"/>
  <c r="E4" i="17"/>
  <c r="E4" i="16"/>
  <c r="E4" i="15"/>
  <c r="H34" i="21" l="1"/>
  <c r="G34" i="21"/>
  <c r="H33" i="21"/>
  <c r="G33" i="21"/>
  <c r="H32" i="21"/>
  <c r="G32" i="21"/>
  <c r="G31" i="21"/>
  <c r="H31" i="21"/>
  <c r="G30" i="21"/>
  <c r="H30" i="21"/>
  <c r="H29" i="21"/>
  <c r="G29" i="21"/>
  <c r="G28" i="21"/>
  <c r="H28" i="21"/>
  <c r="H27" i="21"/>
  <c r="G27" i="21"/>
  <c r="H26" i="21"/>
  <c r="G26" i="21"/>
  <c r="H25" i="21"/>
  <c r="G25" i="21"/>
  <c r="H24" i="21"/>
  <c r="G24" i="21"/>
  <c r="H23" i="21"/>
  <c r="G23" i="21"/>
  <c r="G22" i="21"/>
  <c r="H22" i="21"/>
  <c r="H21" i="21"/>
  <c r="G21" i="21"/>
  <c r="H20" i="21"/>
  <c r="G20" i="21"/>
  <c r="G19" i="21"/>
  <c r="H19" i="21"/>
  <c r="H18" i="21"/>
  <c r="G18" i="21"/>
  <c r="G17" i="21"/>
  <c r="H17" i="21"/>
  <c r="H16" i="21"/>
  <c r="G16" i="21"/>
  <c r="H15" i="21"/>
  <c r="G15" i="21"/>
  <c r="H14" i="21"/>
  <c r="G14" i="21"/>
  <c r="H13" i="21"/>
  <c r="G13" i="21"/>
  <c r="G12" i="21"/>
  <c r="H12" i="21"/>
  <c r="G11" i="21"/>
  <c r="H11" i="21"/>
  <c r="G10" i="21"/>
  <c r="H10" i="21"/>
  <c r="G9" i="21"/>
  <c r="H9" i="21"/>
  <c r="G8" i="21"/>
  <c r="H8" i="21"/>
  <c r="G7" i="21"/>
  <c r="H7" i="21"/>
  <c r="H6" i="21"/>
  <c r="G6" i="21"/>
  <c r="H5" i="21"/>
  <c r="G5" i="21"/>
  <c r="G4" i="21"/>
  <c r="H4" i="21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4" i="20"/>
  <c r="H4" i="20"/>
  <c r="G6" i="19"/>
  <c r="H6" i="19"/>
  <c r="G7" i="19"/>
  <c r="H7" i="19"/>
  <c r="G8" i="19"/>
  <c r="H8" i="19"/>
  <c r="G9" i="19"/>
  <c r="H9" i="19"/>
  <c r="G10" i="19"/>
  <c r="H10" i="19"/>
  <c r="H11" i="19"/>
  <c r="G11" i="19"/>
  <c r="G12" i="19"/>
  <c r="H12" i="19"/>
  <c r="G13" i="19"/>
  <c r="H13" i="19"/>
  <c r="G14" i="19"/>
  <c r="H14" i="19"/>
  <c r="H15" i="19"/>
  <c r="G15" i="19"/>
  <c r="G16" i="19"/>
  <c r="H16" i="19"/>
  <c r="H17" i="19"/>
  <c r="G17" i="19"/>
  <c r="G18" i="19"/>
  <c r="H18" i="19"/>
  <c r="H19" i="19"/>
  <c r="G19" i="19"/>
  <c r="G20" i="19"/>
  <c r="H20" i="19"/>
  <c r="G21" i="19"/>
  <c r="H21" i="19"/>
  <c r="G22" i="19"/>
  <c r="H22" i="19"/>
  <c r="G23" i="19"/>
  <c r="H23" i="19"/>
  <c r="H24" i="19"/>
  <c r="G24" i="19"/>
  <c r="G25" i="19"/>
  <c r="H25" i="19"/>
  <c r="G26" i="19"/>
  <c r="H26" i="19"/>
  <c r="H27" i="19"/>
  <c r="G27" i="19"/>
  <c r="G28" i="19"/>
  <c r="H28" i="19"/>
  <c r="H29" i="19"/>
  <c r="G29" i="19"/>
  <c r="G30" i="19"/>
  <c r="H30" i="19"/>
  <c r="G31" i="19"/>
  <c r="H31" i="19"/>
  <c r="H32" i="19"/>
  <c r="G32" i="19"/>
  <c r="G33" i="19"/>
  <c r="H33" i="19"/>
  <c r="G34" i="19"/>
  <c r="H34" i="19"/>
  <c r="G4" i="19"/>
  <c r="H4" i="19"/>
  <c r="G5" i="18"/>
  <c r="H5" i="18"/>
  <c r="G6" i="18"/>
  <c r="H6" i="18"/>
  <c r="G7" i="18"/>
  <c r="H7" i="18"/>
  <c r="G9" i="18"/>
  <c r="H9" i="18"/>
  <c r="G10" i="18"/>
  <c r="H10" i="18"/>
  <c r="G11" i="18"/>
  <c r="H11" i="18"/>
  <c r="G12" i="18"/>
  <c r="H12" i="18"/>
  <c r="H13" i="18"/>
  <c r="G13" i="18"/>
  <c r="G14" i="18"/>
  <c r="H14" i="18"/>
  <c r="H15" i="18"/>
  <c r="G15" i="18"/>
  <c r="G16" i="18"/>
  <c r="H16" i="18"/>
  <c r="G17" i="18"/>
  <c r="H17" i="18"/>
  <c r="G18" i="18"/>
  <c r="H18" i="18"/>
  <c r="G19" i="18"/>
  <c r="H19" i="18"/>
  <c r="G20" i="18"/>
  <c r="H20" i="18"/>
  <c r="G21" i="18"/>
  <c r="H21" i="18"/>
  <c r="G22" i="18"/>
  <c r="H22" i="18"/>
  <c r="G23" i="18"/>
  <c r="H23" i="18"/>
  <c r="G24" i="18"/>
  <c r="H24" i="18"/>
  <c r="G25" i="18"/>
  <c r="H25" i="18"/>
  <c r="G26" i="18"/>
  <c r="H26" i="18"/>
  <c r="G27" i="18"/>
  <c r="H27" i="18"/>
  <c r="G28" i="18"/>
  <c r="H28" i="18"/>
  <c r="G29" i="18"/>
  <c r="H29" i="18"/>
  <c r="G30" i="18"/>
  <c r="H30" i="18"/>
  <c r="G31" i="18"/>
  <c r="H31" i="18"/>
  <c r="G32" i="18"/>
  <c r="H32" i="18"/>
  <c r="G33" i="18"/>
  <c r="H33" i="18"/>
  <c r="G4" i="18"/>
  <c r="H4" i="18"/>
  <c r="G27" i="17"/>
  <c r="H27" i="17"/>
  <c r="G28" i="17"/>
  <c r="H28" i="17"/>
  <c r="G29" i="17"/>
  <c r="H29" i="17"/>
  <c r="G30" i="17"/>
  <c r="H30" i="17"/>
  <c r="G31" i="17"/>
  <c r="H31" i="17"/>
  <c r="G32" i="17"/>
  <c r="H32" i="17"/>
  <c r="G33" i="17"/>
  <c r="H33" i="17"/>
  <c r="G34" i="17"/>
  <c r="H34" i="17"/>
  <c r="G4" i="17"/>
  <c r="H4" i="17"/>
  <c r="G31" i="16"/>
  <c r="H31" i="16"/>
  <c r="G4" i="16"/>
  <c r="G32" i="16" s="1"/>
  <c r="H4" i="16"/>
  <c r="G4" i="15"/>
  <c r="H4" i="15"/>
  <c r="G34" i="15"/>
  <c r="H34" i="15"/>
  <c r="C32" i="16"/>
  <c r="C35" i="21"/>
  <c r="A36" i="21" s="1"/>
  <c r="C34" i="20"/>
  <c r="C35" i="15"/>
  <c r="A36" i="15" s="1"/>
  <c r="C35" i="19"/>
  <c r="A36" i="19" s="1"/>
  <c r="C34" i="18"/>
  <c r="A35" i="18" s="1"/>
  <c r="C35" i="17"/>
  <c r="A36" i="17" s="1"/>
  <c r="C35" i="20" l="1"/>
  <c r="A35" i="20"/>
  <c r="A33" i="16"/>
  <c r="C36" i="21"/>
  <c r="A38" i="21" s="1"/>
  <c r="C36" i="19"/>
  <c r="C35" i="18"/>
  <c r="C36" i="17"/>
  <c r="C33" i="16"/>
  <c r="C36" i="15"/>
  <c r="A38" i="15" s="1"/>
  <c r="A44" i="15" s="1"/>
  <c r="H32" i="16"/>
  <c r="G35" i="15"/>
  <c r="G35" i="21"/>
  <c r="H35" i="21"/>
  <c r="H34" i="20"/>
  <c r="G34" i="20"/>
  <c r="G35" i="19"/>
  <c r="H35" i="19"/>
  <c r="H34" i="18"/>
  <c r="G34" i="18"/>
  <c r="H35" i="17"/>
  <c r="G35" i="17"/>
  <c r="H35" i="15"/>
  <c r="C37" i="20" l="1"/>
  <c r="A35" i="16"/>
  <c r="A44" i="16" s="1"/>
  <c r="C35" i="16"/>
  <c r="C38" i="21"/>
  <c r="A37" i="20"/>
  <c r="A38" i="19"/>
  <c r="C38" i="19"/>
  <c r="C37" i="18"/>
  <c r="A37" i="18"/>
  <c r="A38" i="17"/>
  <c r="C38" i="17"/>
  <c r="C38" i="15"/>
  <c r="B44" i="15" s="1"/>
  <c r="A44" i="17" l="1"/>
  <c r="A44" i="18" s="1"/>
  <c r="B44" i="16"/>
  <c r="B44" i="17" s="1"/>
  <c r="B44" i="18" l="1"/>
  <c r="B44" i="19" s="1"/>
  <c r="A44" i="19"/>
  <c r="A44" i="20" l="1"/>
  <c r="B44" i="20"/>
  <c r="A44" i="21" l="1"/>
  <c r="B44" i="21"/>
  <c r="A44" i="22" l="1"/>
  <c r="B44" i="22"/>
  <c r="A44" i="23" l="1"/>
  <c r="B44" i="23"/>
  <c r="B44" i="24" l="1"/>
  <c r="A44" i="24"/>
  <c r="A44" i="25" l="1"/>
  <c r="B44" i="25"/>
  <c r="B44" i="26" l="1"/>
  <c r="A44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<sst xmlns="http://schemas.openxmlformats.org/spreadsheetml/2006/main" count="219" uniqueCount="26">
  <si>
    <t>od</t>
  </si>
  <si>
    <t>do</t>
  </si>
  <si>
    <t>godzin</t>
  </si>
  <si>
    <t>SUMA:</t>
  </si>
  <si>
    <t>- URLOP WYPOCZYNK.</t>
  </si>
  <si>
    <t>PO UWZGL. URLOPU</t>
  </si>
  <si>
    <t>wymiar czasu pracy</t>
  </si>
  <si>
    <t> </t>
  </si>
  <si>
    <t>styczeń</t>
  </si>
  <si>
    <t>luty</t>
  </si>
  <si>
    <t>marzec</t>
  </si>
  <si>
    <t>kwiecień</t>
  </si>
  <si>
    <t>maj</t>
  </si>
  <si>
    <t>czerwiec</t>
  </si>
  <si>
    <t>Piotr Gajewski</t>
  </si>
  <si>
    <t>Nadgodziny za poprzedni rok:</t>
  </si>
  <si>
    <t>Niedogodziny za poprzedni rok:</t>
  </si>
  <si>
    <t>lipiec</t>
  </si>
  <si>
    <t>sierpień</t>
  </si>
  <si>
    <t>wrzesień</t>
  </si>
  <si>
    <t>październik</t>
  </si>
  <si>
    <t>listopad</t>
  </si>
  <si>
    <t>grudzień</t>
  </si>
  <si>
    <t>rodzaj pracy (biuro/zdalnie/urlop)</t>
  </si>
  <si>
    <t>Nazwa klienta</t>
  </si>
  <si>
    <t>FTE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</si>
</sst>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0"/>
      <color rgb="FF000000"/>
      <name val="Calibri"/>
      <family val="2"/>
      <charset val="238"/>
    </font>
    <font>
      <b/>
      <sz val="13.5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sz val="10"/>
      <color theme="1"/>
      <name val="Calibri"/>
      <family val="2"/>
      <charset val="238"/>
    </font>
    <font>
      <b/>
      <sz val="13.5"/>
      <color rgb="FF000000"/>
      <name val="Calibri"/>
      <family val="2"/>
      <charset val="238"/>
    </font>
    <font>
      <b/>
      <sz val="10"/>
      <color rgb="FF000000"/>
      <name val="Calibri"/>
      <family val="2"/>
      <charset val="238"/>
    </font>
    <font>
      <sz val="10"/>
      <color theme="1"/>
      <name val="Calibri"/>
      <family val="2"/>
      <charset val="238"/>
    </font>
    <font>
      <b/>
      <sz val="10"/>
      <color rgb="FF92D05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Calibri"/>
      <family val="2"/>
      <charset val="238"/>
    </font>
    <font>
      <b/>
      <sz val="13.5"/>
      <color rgb="FFFF0000"/>
      <name val="Calibri"/>
      <family val="2"/>
      <charset val="238"/>
    </font>
    <font>
      <sz val="8"/>
      <name val="Calibri"/>
      <family val="2"/>
      <scheme val="minor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b/>
      <sz val="10"/>
      <color rgb="FF000000"/>
      <name val="Calibri"/>
      <family val="2"/>
      <charset val="238"/>
    </font>
    <font>
      <b/>
      <sz val="13.5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sz val="10"/>
      <color theme="1"/>
      <name val="Calibri"/>
      <family val="2"/>
      <charset val="238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sz val="1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B9CDE5"/>
        <bgColor rgb="FFB9CDE5"/>
      </patternFill>
    </fill>
    <fill>
      <patternFill patternType="solid">
        <fgColor rgb="FFD9D9D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0" fontId="2" fillId="2" borderId="0" applyNumberFormat="0" applyBorder="0" applyProtection="0"/>
  </cellStyleXfs>
  <cellXfs count="137">
    <xf numFmtId="0" fontId="0" fillId="0" borderId="0" xfId="0"/>
    <xf numFmtId="0" fontId="0" fillId="0" borderId="0" xfId="0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wrapText="1"/>
    </xf>
    <xf numFmtId="0" fontId="11" fillId="0" borderId="0" xfId="0" applyFont="1" applyAlignment="1">
      <alignment horizontal="center" vertical="center"/>
    </xf>
    <xf numFmtId="20" fontId="5" fillId="0" borderId="0" xfId="0" applyNumberFormat="1" applyFont="1" applyAlignment="1">
      <alignment horizontal="center" vertical="center"/>
    </xf>
    <xf numFmtId="0" fontId="3" fillId="3" borderId="1" xfId="0" applyFont="1" applyFill="1" applyBorder="1"/>
    <xf numFmtId="0" fontId="5" fillId="4" borderId="0" xfId="0" applyFont="1" applyFill="1" applyAlignment="1">
      <alignment horizontal="center" vertical="center"/>
    </xf>
    <xf numFmtId="0" fontId="3" fillId="5" borderId="23" xfId="0" applyFont="1" applyFill="1" applyBorder="1"/>
    <xf numFmtId="0" fontId="5" fillId="0" borderId="3" xfId="0" applyFont="1" applyBorder="1"/>
    <xf numFmtId="0" fontId="5" fillId="0" borderId="2" xfId="0" applyFont="1" applyBorder="1"/>
    <xf numFmtId="0" fontId="3" fillId="4" borderId="3" xfId="0" quotePrefix="1" applyFont="1" applyFill="1" applyBorder="1"/>
    <xf numFmtId="0" fontId="3" fillId="4" borderId="2" xfId="0" applyFont="1" applyFill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20" fontId="6" fillId="0" borderId="0" xfId="0" applyNumberFormat="1" applyFont="1"/>
    <xf numFmtId="0" fontId="11" fillId="0" borderId="15" xfId="0" applyFont="1" applyBorder="1" applyAlignment="1">
      <alignment horizontal="center" vertical="center"/>
    </xf>
    <xf numFmtId="0" fontId="15" fillId="0" borderId="11" xfId="0" applyFont="1" applyBorder="1"/>
    <xf numFmtId="46" fontId="6" fillId="0" borderId="0" xfId="0" applyNumberFormat="1" applyFont="1"/>
    <xf numFmtId="0" fontId="5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 vertical="center"/>
    </xf>
    <xf numFmtId="0" fontId="9" fillId="0" borderId="0" xfId="0" quotePrefix="1" applyFont="1"/>
    <xf numFmtId="20" fontId="0" fillId="0" borderId="0" xfId="0" applyNumberFormat="1" applyAlignment="1">
      <alignment horizontal="center" vertical="center"/>
    </xf>
    <xf numFmtId="20" fontId="0" fillId="0" borderId="0" xfId="0" applyNumberFormat="1"/>
    <xf numFmtId="0" fontId="17" fillId="3" borderId="1" xfId="0" applyFont="1" applyFill="1" applyBorder="1"/>
    <xf numFmtId="0" fontId="17" fillId="3" borderId="1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7" fillId="5" borderId="23" xfId="0" applyFont="1" applyFill="1" applyBorder="1"/>
    <xf numFmtId="0" fontId="19" fillId="0" borderId="3" xfId="0" applyFont="1" applyBorder="1"/>
    <xf numFmtId="0" fontId="19" fillId="0" borderId="2" xfId="0" applyFont="1" applyBorder="1"/>
    <xf numFmtId="0" fontId="17" fillId="4" borderId="3" xfId="0" quotePrefix="1" applyFont="1" applyFill="1" applyBorder="1"/>
    <xf numFmtId="0" fontId="17" fillId="4" borderId="2" xfId="0" applyFont="1" applyFill="1" applyBorder="1"/>
    <xf numFmtId="0" fontId="5" fillId="0" borderId="11" xfId="0" applyFont="1" applyBorder="1"/>
    <xf numFmtId="0" fontId="20" fillId="0" borderId="0" xfId="0" applyFont="1"/>
    <xf numFmtId="0" fontId="19" fillId="0" borderId="0" xfId="0" applyFont="1" applyAlignment="1">
      <alignment horizontal="center" vertical="center"/>
    </xf>
    <xf numFmtId="46" fontId="20" fillId="0" borderId="0" xfId="0" applyNumberFormat="1" applyFont="1"/>
    <xf numFmtId="0" fontId="19" fillId="0" borderId="0" xfId="0" applyFont="1"/>
    <xf numFmtId="14" fontId="11" fillId="5" borderId="23" xfId="0" applyNumberFormat="1" applyFont="1" applyFill="1" applyBorder="1"/>
    <xf numFmtId="0" fontId="21" fillId="5" borderId="23" xfId="0" applyFont="1" applyFill="1" applyBorder="1" applyAlignment="1">
      <alignment wrapText="1"/>
    </xf>
    <xf numFmtId="14" fontId="0" fillId="0" borderId="0" xfId="0" applyNumberFormat="1"/>
    <xf numFmtId="46" fontId="0" fillId="0" borderId="0" xfId="0" applyNumberFormat="1"/>
    <xf numFmtId="0" fontId="0" fillId="6" borderId="0" xfId="0" applyFill="1"/>
    <xf numFmtId="0" fontId="3" fillId="3" borderId="7" xfId="0" applyFont="1" applyFill="1" applyBorder="1"/>
    <xf numFmtId="20" fontId="5" fillId="3" borderId="4" xfId="0" applyNumberFormat="1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20" fontId="6" fillId="3" borderId="4" xfId="0" applyNumberFormat="1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 wrapText="1"/>
    </xf>
    <xf numFmtId="20" fontId="0" fillId="3" borderId="4" xfId="0" applyNumberFormat="1" applyFill="1" applyBorder="1" applyAlignment="1">
      <alignment horizontal="center" vertical="center"/>
    </xf>
    <xf numFmtId="0" fontId="3" fillId="3" borderId="4" xfId="0" applyFont="1" applyFill="1" applyBorder="1"/>
    <xf numFmtId="20" fontId="15" fillId="3" borderId="4" xfId="0" applyNumberFormat="1" applyFont="1" applyFill="1" applyBorder="1" applyAlignment="1">
      <alignment horizontal="center" vertical="center"/>
    </xf>
    <xf numFmtId="20" fontId="19" fillId="3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164" fontId="24" fillId="0" borderId="16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10" fillId="0" borderId="19" xfId="0" applyNumberFormat="1" applyFont="1" applyBorder="1" applyAlignment="1">
      <alignment horizontal="center" vertical="center"/>
    </xf>
    <xf numFmtId="164" fontId="12" fillId="0" borderId="22" xfId="0" applyNumberFormat="1" applyFont="1" applyBorder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164" fontId="20" fillId="0" borderId="16" xfId="0" applyNumberFormat="1" applyFont="1" applyBorder="1" applyAlignment="1">
      <alignment horizontal="center" vertical="center"/>
    </xf>
    <xf numFmtId="0" fontId="3" fillId="6" borderId="3" xfId="0" applyFont="1" applyFill="1" applyBorder="1"/>
    <xf numFmtId="164" fontId="0" fillId="0" borderId="0" xfId="0" applyNumberFormat="1"/>
    <xf numFmtId="0" fontId="23" fillId="3" borderId="4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3" fillId="0" borderId="7" xfId="0" applyFont="1" applyBorder="1"/>
    <xf numFmtId="20" fontId="5" fillId="0" borderId="4" xfId="0" applyNumberFormat="1" applyFont="1" applyBorder="1" applyAlignment="1">
      <alignment horizontal="center" vertical="center"/>
    </xf>
    <xf numFmtId="20" fontId="15" fillId="0" borderId="4" xfId="0" applyNumberFormat="1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3" fillId="0" borderId="4" xfId="0" applyFont="1" applyBorder="1"/>
    <xf numFmtId="20" fontId="0" fillId="0" borderId="4" xfId="0" applyNumberFormat="1" applyBorder="1" applyAlignment="1">
      <alignment horizontal="center" vertical="center"/>
    </xf>
    <xf numFmtId="20" fontId="19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20" fontId="0" fillId="0" borderId="24" xfId="0" applyNumberForma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3" fillId="3" borderId="0" xfId="0" applyFont="1" applyFill="1"/>
    <xf numFmtId="0" fontId="17" fillId="3" borderId="1" xfId="0" applyFont="1" applyFill="1" applyBorder="1"/>
    <xf numFmtId="0" fontId="4" fillId="0" borderId="8" xfId="0" applyFont="1" applyBorder="1"/>
    <xf numFmtId="0" fontId="4" fillId="0" borderId="0" xfId="0" applyFont="1"/>
    <xf numFmtId="0" fontId="4" fillId="0" borderId="1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2" xfId="0" applyFont="1" applyBorder="1"/>
    <xf numFmtId="164" fontId="3" fillId="5" borderId="23" xfId="0" applyNumberFormat="1" applyFont="1" applyFill="1" applyBorder="1"/>
    <xf numFmtId="164" fontId="5" fillId="0" borderId="9" xfId="0" applyNumberFormat="1" applyFont="1" applyBorder="1"/>
    <xf numFmtId="164" fontId="5" fillId="0" borderId="10" xfId="0" applyNumberFormat="1" applyFont="1" applyBorder="1"/>
    <xf numFmtId="164" fontId="5" fillId="0" borderId="2" xfId="0" applyNumberFormat="1" applyFont="1" applyBorder="1"/>
    <xf numFmtId="0" fontId="6" fillId="0" borderId="0" xfId="0" applyFont="1"/>
    <xf numFmtId="164" fontId="16" fillId="5" borderId="5" xfId="0" applyNumberFormat="1" applyFont="1" applyFill="1" applyBorder="1"/>
    <xf numFmtId="164" fontId="16" fillId="5" borderId="6" xfId="0" applyNumberFormat="1" applyFont="1" applyFill="1" applyBorder="1"/>
    <xf numFmtId="164" fontId="16" fillId="5" borderId="7" xfId="0" applyNumberFormat="1" applyFont="1" applyFill="1" applyBorder="1"/>
    <xf numFmtId="164" fontId="4" fillId="0" borderId="14" xfId="0" applyNumberFormat="1" applyFont="1" applyBorder="1"/>
    <xf numFmtId="164" fontId="4" fillId="0" borderId="13" xfId="0" applyNumberFormat="1" applyFont="1" applyBorder="1"/>
    <xf numFmtId="164" fontId="4" fillId="0" borderId="12" xfId="0" applyNumberFormat="1" applyFont="1" applyBorder="1"/>
    <xf numFmtId="164" fontId="4" fillId="0" borderId="9" xfId="0" applyNumberFormat="1" applyFont="1" applyBorder="1"/>
    <xf numFmtId="164" fontId="4" fillId="0" borderId="10" xfId="0" applyNumberFormat="1" applyFont="1" applyBorder="1"/>
    <xf numFmtId="164" fontId="4" fillId="0" borderId="2" xfId="0" applyNumberFormat="1" applyFont="1" applyBorder="1"/>
    <xf numFmtId="0" fontId="3" fillId="0" borderId="2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8" fillId="5" borderId="23" xfId="0" applyNumberFormat="1" applyFont="1" applyFill="1" applyBorder="1"/>
    <xf numFmtId="164" fontId="5" fillId="0" borderId="26" xfId="0" applyNumberFormat="1" applyFont="1" applyBorder="1"/>
    <xf numFmtId="164" fontId="5" fillId="0" borderId="27" xfId="0" applyNumberFormat="1" applyFont="1" applyBorder="1"/>
    <xf numFmtId="164" fontId="5" fillId="0" borderId="28" xfId="0" applyNumberFormat="1" applyFont="1" applyBorder="1"/>
    <xf numFmtId="0" fontId="6" fillId="0" borderId="25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64" fontId="13" fillId="0" borderId="14" xfId="0" applyNumberFormat="1" applyFont="1" applyBorder="1" applyAlignment="1">
      <alignment horizontal="right"/>
    </xf>
    <xf numFmtId="164" fontId="13" fillId="0" borderId="13" xfId="0" applyNumberFormat="1" applyFont="1" applyBorder="1" applyAlignment="1">
      <alignment horizontal="right"/>
    </xf>
    <xf numFmtId="164" fontId="13" fillId="0" borderId="12" xfId="0" applyNumberFormat="1" applyFont="1" applyBorder="1" applyAlignment="1">
      <alignment horizontal="right"/>
    </xf>
    <xf numFmtId="164" fontId="13" fillId="0" borderId="9" xfId="0" applyNumberFormat="1" applyFont="1" applyBorder="1" applyAlignment="1">
      <alignment horizontal="right"/>
    </xf>
    <xf numFmtId="164" fontId="13" fillId="0" borderId="10" xfId="0" applyNumberFormat="1" applyFont="1" applyBorder="1" applyAlignment="1">
      <alignment horizontal="right"/>
    </xf>
    <xf numFmtId="164" fontId="13" fillId="0" borderId="2" xfId="0" applyNumberFormat="1" applyFont="1" applyBorder="1" applyAlignment="1">
      <alignment horizontal="right"/>
    </xf>
    <xf numFmtId="0" fontId="7" fillId="0" borderId="8" xfId="0" applyFont="1" applyBorder="1"/>
    <xf numFmtId="0" fontId="18" fillId="0" borderId="8" xfId="0" applyFont="1" applyBorder="1"/>
    <xf numFmtId="0" fontId="18" fillId="0" borderId="0" xfId="0" applyFont="1"/>
    <xf numFmtId="0" fontId="18" fillId="0" borderId="1" xfId="0" applyFont="1" applyBorder="1"/>
    <xf numFmtId="0" fontId="18" fillId="0" borderId="9" xfId="0" applyFont="1" applyBorder="1"/>
    <xf numFmtId="0" fontId="18" fillId="0" borderId="10" xfId="0" applyFont="1" applyBorder="1"/>
    <xf numFmtId="0" fontId="18" fillId="0" borderId="2" xfId="0" applyFont="1" applyBorder="1"/>
    <xf numFmtId="164" fontId="17" fillId="5" borderId="23" xfId="0" applyNumberFormat="1" applyFont="1" applyFill="1" applyBorder="1"/>
    <xf numFmtId="164" fontId="19" fillId="0" borderId="9" xfId="0" applyNumberFormat="1" applyFont="1" applyBorder="1"/>
    <xf numFmtId="164" fontId="19" fillId="0" borderId="10" xfId="0" applyNumberFormat="1" applyFont="1" applyBorder="1"/>
    <xf numFmtId="164" fontId="19" fillId="0" borderId="2" xfId="0" applyNumberFormat="1" applyFont="1" applyBorder="1"/>
    <xf numFmtId="0" fontId="20" fillId="0" borderId="0" xfId="0" applyFont="1"/>
    <xf numFmtId="164" fontId="18" fillId="0" borderId="14" xfId="0" applyNumberFormat="1" applyFont="1" applyBorder="1"/>
    <xf numFmtId="164" fontId="18" fillId="0" borderId="13" xfId="0" applyNumberFormat="1" applyFont="1" applyBorder="1"/>
    <xf numFmtId="164" fontId="18" fillId="0" borderId="12" xfId="0" applyNumberFormat="1" applyFont="1" applyBorder="1"/>
    <xf numFmtId="164" fontId="18" fillId="0" borderId="9" xfId="0" applyNumberFormat="1" applyFont="1" applyBorder="1"/>
    <xf numFmtId="164" fontId="18" fillId="0" borderId="10" xfId="0" applyNumberFormat="1" applyFont="1" applyBorder="1"/>
    <xf numFmtId="164" fontId="18" fillId="0" borderId="2" xfId="0" applyNumberFormat="1" applyFont="1" applyBorder="1"/>
    <xf numFmtId="0" fontId="17" fillId="0" borderId="24" xfId="0" applyFont="1" applyBorder="1" applyAlignment="1">
      <alignment horizontal="center"/>
    </xf>
    <xf numFmtId="0" fontId="17" fillId="0" borderId="3" xfId="0" applyFont="1" applyBorder="1" applyAlignment="1">
      <alignment horizontal="center"/>
    </xf>
  </cellXfs>
  <cellStyles count="2">
    <cellStyle name="Excel Built-in Explanatory Text" xfId="1" xr:uid="{00000000-0005-0000-0000-000000000000}"/>
    <cellStyle name="Normalny" xfId="0" builtinId="0"/>
  </cellStyles>
  <dxfs count="72"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rgb="FF92D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92D050"/>
      </font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46</xdr:row>
          <xdr:rowOff>15240</xdr:rowOff>
        </xdr:from>
        <xdr:to>
          <xdr:col>5</xdr:col>
          <xdr:colOff>1409700</xdr:colOff>
          <xdr:row>47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Ustaw Nowy 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50</xdr:row>
          <xdr:rowOff>15240</xdr:rowOff>
        </xdr:from>
        <xdr:to>
          <xdr:col>5</xdr:col>
          <xdr:colOff>1409700</xdr:colOff>
          <xdr:row>52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Policz Pobrany Urlop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J52"/>
  <sheetViews>
    <sheetView tabSelected="1" zoomScaleNormal="100" workbookViewId="0">
      <selection sqref="A1:B1"/>
    </sheetView>
  </sheetViews>
  <sheetFormatPr defaultRowHeight="14.4" x14ac:dyDescent="0.3"/>
  <cols>
    <col min="1" max="1" width="18.77734375" customWidth="1"/>
    <col min="2" max="2" width="13.33203125" customWidth="1"/>
    <col min="3" max="5" width="8.88671875" customWidth="1"/>
    <col min="6" max="6" width="20.77734375" customWidth="1"/>
    <col min="7" max="7" width="25.77734375" customWidth="1"/>
    <col min="8" max="8" width="8.77734375" customWidth="1"/>
    <col min="10" max="10" width="9.109375" bestFit="1" customWidth="1"/>
  </cols>
  <sheetData>
    <row r="1" spans="1:8" ht="15" customHeight="1" x14ac:dyDescent="0.3">
      <c r="A1" s="81" t="s">
        <v>24</v>
      </c>
      <c r="B1" s="82"/>
      <c r="C1" s="83" t="s">
        <v>14</v>
      </c>
      <c r="D1" s="84"/>
      <c r="E1" s="84"/>
      <c r="F1" s="85"/>
    </row>
    <row r="2" spans="1:8" x14ac:dyDescent="0.3">
      <c r="A2" s="6" t="s">
        <v>8</v>
      </c>
      <c r="B2" s="6" t="s">
        <v>7</v>
      </c>
      <c r="C2" s="86"/>
      <c r="D2" s="87"/>
      <c r="E2" s="87"/>
      <c r="F2" s="88"/>
    </row>
    <row r="3" spans="1:8" ht="27.6" x14ac:dyDescent="0.3">
      <c r="A3" s="6">
        <v>2026</v>
      </c>
      <c r="B3" s="6" t="s">
        <v>7</v>
      </c>
      <c r="C3" s="7" t="s">
        <v>0</v>
      </c>
      <c r="D3" s="7" t="s">
        <v>1</v>
      </c>
      <c r="E3" s="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46023</v>
      </c>
      <c r="B4" s="64" t="str">
        <f>TEXT(A4,"ddd")</f>
        <v>czw</v>
      </c>
      <c r="C4" s="65"/>
      <c r="D4" s="66"/>
      <c r="E4" s="65" t="str">
        <f t="shared" ref="E4:E34" si="0">IFERROR(IF(AND(C4&lt;&gt;"",D4&lt;&gt;"",D4-C4&gt;=0),D4-C4,""),"")</f>
        <v/>
      </c>
      <c r="F4" s="67"/>
      <c r="G4" s="1" t="str">
        <f>IF($B$51=1,IFERROR(IF(E4&lt;&gt;"",IF(AND(D4-C4&lt;1/3,B4&lt;&gt;"sob",B4&lt;&gt;"niedz"),"Niedogodziny","Nadgodziny"),""),""),"")</f>
        <v/>
      </c>
      <c r="H4" s="5" t="str">
        <f>IF($B$51=1,IFERROR(IF(AND(E4&lt;&gt;"",OR(B4="sob",B4="niedz")),E4,IF(AND(E4&lt;&gt;"",1/3-E4&gt;0),1/3-E4,IF(AND(E4&lt;&gt;"",E4-1/3&gt;=0),E4-1/3,""))),""),"")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46024</v>
      </c>
      <c r="B5" s="64" t="str">
        <f t="shared" ref="B5:B34" si="1">TEXT(A5,"ddd")</f>
        <v>pt</v>
      </c>
      <c r="C5" s="65"/>
      <c r="D5" s="66"/>
      <c r="E5" s="65" t="str">
        <f t="shared" si="0"/>
        <v/>
      </c>
      <c r="F5" s="67"/>
      <c r="G5" s="1" t="str">
        <f t="shared" ref="G5:G34" si="2">IF($B$51=1,IFERROR(IF(E5&lt;&gt;"",IF(AND(D5-C5&lt;1/3,B5&lt;&gt;"sob",B5&lt;&gt;"niedz"),"Niedogodziny","Nadgodziny"),""),""),"")</f>
        <v/>
      </c>
      <c r="H5" s="5" t="str">
        <f t="shared" ref="H5:H34" si="3">IF($B$51=1,IFERROR(IF(AND(E5&lt;&gt;"",OR(B5="sob",B5="niedz")),E5,IF(AND(E5&lt;&gt;"",1/3-E5&gt;0),1/3-E5,IF(AND(E5&lt;&gt;"",E5-1/3&gt;=0),E5-1/3,""))),""),"")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46025</v>
      </c>
      <c r="B6" s="43" t="str">
        <f t="shared" si="1"/>
        <v>sob</v>
      </c>
      <c r="C6" s="44"/>
      <c r="D6" s="50"/>
      <c r="E6" s="44" t="str">
        <f t="shared" si="0"/>
        <v/>
      </c>
      <c r="F6" s="45"/>
      <c r="G6" s="1" t="str">
        <f t="shared" si="2"/>
        <v/>
      </c>
      <c r="H6" s="5" t="str">
        <f t="shared" si="3"/>
        <v/>
      </c>
    </row>
    <row r="7" spans="1:8" x14ac:dyDescent="0.3">
      <c r="A7" s="38" cm="1">
        <f t="array" ref="A7">DATE($A$3, MONTH($A$2&amp;1), ROW($A7:A7)-3)</f>
        <v>46026</v>
      </c>
      <c r="B7" s="43" t="str">
        <f t="shared" si="1"/>
        <v>niedz</v>
      </c>
      <c r="C7" s="44"/>
      <c r="D7" s="50"/>
      <c r="E7" s="44" t="str">
        <f t="shared" si="0"/>
        <v/>
      </c>
      <c r="F7" s="45"/>
      <c r="G7" s="1" t="str">
        <f t="shared" si="2"/>
        <v/>
      </c>
      <c r="H7" s="5" t="str">
        <f t="shared" si="3"/>
        <v/>
      </c>
    </row>
    <row r="8" spans="1:8" x14ac:dyDescent="0.3">
      <c r="A8" s="38" cm="1">
        <f t="array" ref="A8">DATE($A$3, MONTH($A$2&amp;1), ROW($A8:A8)-3)</f>
        <v>46027</v>
      </c>
      <c r="B8" s="64" t="str">
        <f t="shared" si="1"/>
        <v>pon</v>
      </c>
      <c r="C8" s="65"/>
      <c r="D8" s="66"/>
      <c r="E8" s="65" t="str">
        <f t="shared" si="0"/>
        <v/>
      </c>
      <c r="F8" s="67"/>
      <c r="G8" s="1" t="str">
        <f t="shared" si="2"/>
        <v/>
      </c>
      <c r="H8" s="5" t="str">
        <f t="shared" si="3"/>
        <v/>
      </c>
    </row>
    <row r="9" spans="1:8" x14ac:dyDescent="0.3">
      <c r="A9" s="38" cm="1">
        <f t="array" ref="A9">DATE($A$3, MONTH($A$2&amp;1), ROW($A9:A9)-3)</f>
        <v>46028</v>
      </c>
      <c r="B9" s="64" t="str">
        <f t="shared" si="1"/>
        <v>wt</v>
      </c>
      <c r="C9" s="65"/>
      <c r="D9" s="66"/>
      <c r="E9" s="65" t="str">
        <f t="shared" si="0"/>
        <v/>
      </c>
      <c r="F9" s="67"/>
      <c r="G9" s="1" t="str">
        <f t="shared" si="2"/>
        <v/>
      </c>
      <c r="H9" s="5" t="str">
        <f t="shared" si="3"/>
        <v/>
      </c>
    </row>
    <row r="10" spans="1:8" x14ac:dyDescent="0.3">
      <c r="A10" s="38" cm="1">
        <f t="array" ref="A10">DATE($A$3, MONTH($A$2&amp;1), ROW($A10:A10)-3)</f>
        <v>46029</v>
      </c>
      <c r="B10" s="64" t="str">
        <f t="shared" si="1"/>
        <v>śr</v>
      </c>
      <c r="C10" s="65"/>
      <c r="D10" s="66"/>
      <c r="E10" s="65" t="str">
        <f t="shared" si="0"/>
        <v/>
      </c>
      <c r="F10" s="68"/>
      <c r="G10" s="1" t="str">
        <f t="shared" si="2"/>
        <v/>
      </c>
      <c r="H10" s="5" t="str">
        <f t="shared" si="3"/>
        <v/>
      </c>
    </row>
    <row r="11" spans="1:8" x14ac:dyDescent="0.3">
      <c r="A11" s="38" cm="1">
        <f t="array" ref="A11">DATE($A$3, MONTH($A$2&amp;1), ROW($A11:A11)-3)</f>
        <v>46030</v>
      </c>
      <c r="B11" s="64" t="str">
        <f t="shared" si="1"/>
        <v>czw</v>
      </c>
      <c r="C11" s="65"/>
      <c r="D11" s="66"/>
      <c r="E11" s="65" t="str">
        <f t="shared" si="0"/>
        <v/>
      </c>
      <c r="F11" s="67"/>
      <c r="G11" s="1" t="str">
        <f t="shared" si="2"/>
        <v/>
      </c>
      <c r="H11" s="5" t="str">
        <f t="shared" si="3"/>
        <v/>
      </c>
    </row>
    <row r="12" spans="1:8" x14ac:dyDescent="0.3">
      <c r="A12" s="38" cm="1">
        <f t="array" ref="A12">DATE($A$3, MONTH($A$2&amp;1), ROW($A12:A12)-3)</f>
        <v>46031</v>
      </c>
      <c r="B12" s="64" t="str">
        <f t="shared" si="1"/>
        <v>pt</v>
      </c>
      <c r="C12" s="65"/>
      <c r="D12" s="66"/>
      <c r="E12" s="65" t="str">
        <f t="shared" si="0"/>
        <v/>
      </c>
      <c r="F12" s="67"/>
      <c r="G12" s="1" t="str">
        <f t="shared" si="2"/>
        <v/>
      </c>
      <c r="H12" s="5" t="str">
        <f t="shared" si="3"/>
        <v/>
      </c>
    </row>
    <row r="13" spans="1:8" x14ac:dyDescent="0.3">
      <c r="A13" s="38" cm="1">
        <f t="array" ref="A13">DATE($A$3, MONTH($A$2&amp;1), ROW($A13:A13)-3)</f>
        <v>46032</v>
      </c>
      <c r="B13" s="43" t="str">
        <f t="shared" si="1"/>
        <v>sob</v>
      </c>
      <c r="C13" s="48"/>
      <c r="D13" s="48"/>
      <c r="E13" s="44" t="str">
        <f t="shared" si="0"/>
        <v/>
      </c>
      <c r="F13" s="45"/>
      <c r="G13" s="1" t="str">
        <f t="shared" si="2"/>
        <v/>
      </c>
      <c r="H13" s="5" t="str">
        <f t="shared" si="3"/>
        <v/>
      </c>
    </row>
    <row r="14" spans="1:8" x14ac:dyDescent="0.3">
      <c r="A14" s="38" cm="1">
        <f t="array" ref="A14">DATE($A$3, MONTH($A$2&amp;1), ROW($A14:A14)-3)</f>
        <v>46033</v>
      </c>
      <c r="B14" s="43" t="str">
        <f t="shared" si="1"/>
        <v>niedz</v>
      </c>
      <c r="C14" s="48"/>
      <c r="D14" s="48"/>
      <c r="E14" s="44" t="str">
        <f t="shared" si="0"/>
        <v/>
      </c>
      <c r="F14" s="45"/>
      <c r="G14" s="1" t="str">
        <f t="shared" si="2"/>
        <v/>
      </c>
      <c r="H14" s="5" t="str">
        <f t="shared" si="3"/>
        <v/>
      </c>
    </row>
    <row r="15" spans="1:8" x14ac:dyDescent="0.3">
      <c r="A15" s="38" cm="1">
        <f t="array" ref="A15">DATE($A$3, MONTH($A$2&amp;1), ROW($A15:A15)-3)</f>
        <v>46034</v>
      </c>
      <c r="B15" s="64" t="str">
        <f t="shared" si="1"/>
        <v>pon</v>
      </c>
      <c r="C15" s="65"/>
      <c r="D15" s="66"/>
      <c r="E15" s="65" t="str">
        <f t="shared" si="0"/>
        <v/>
      </c>
      <c r="F15" s="67"/>
      <c r="G15" s="1" t="str">
        <f t="shared" si="2"/>
        <v/>
      </c>
      <c r="H15" s="5" t="str">
        <f t="shared" si="3"/>
        <v/>
      </c>
    </row>
    <row r="16" spans="1:8" x14ac:dyDescent="0.3">
      <c r="A16" s="38" cm="1">
        <f t="array" ref="A16">DATE($A$3, MONTH($A$2&amp;1), ROW($A16:A16)-3)</f>
        <v>46035</v>
      </c>
      <c r="B16" s="64" t="str">
        <f t="shared" si="1"/>
        <v>wt</v>
      </c>
      <c r="C16" s="65"/>
      <c r="D16" s="66"/>
      <c r="E16" s="65" t="str">
        <f t="shared" si="0"/>
        <v/>
      </c>
      <c r="F16" s="67"/>
      <c r="G16" s="1" t="str">
        <f t="shared" si="2"/>
        <v/>
      </c>
      <c r="H16" s="5" t="str">
        <f t="shared" si="3"/>
        <v/>
      </c>
    </row>
    <row r="17" spans="1:8" x14ac:dyDescent="0.3">
      <c r="A17" s="38" cm="1">
        <f t="array" ref="A17">DATE($A$3, MONTH($A$2&amp;1), ROW($A17:A17)-3)</f>
        <v>46036</v>
      </c>
      <c r="B17" s="64" t="str">
        <f t="shared" si="1"/>
        <v>śr</v>
      </c>
      <c r="C17" s="65"/>
      <c r="D17" s="66"/>
      <c r="E17" s="65" t="str">
        <f t="shared" si="0"/>
        <v/>
      </c>
      <c r="F17" s="68"/>
      <c r="G17" s="1" t="str">
        <f t="shared" si="2"/>
        <v/>
      </c>
      <c r="H17" s="5" t="str">
        <f t="shared" si="3"/>
        <v/>
      </c>
    </row>
    <row r="18" spans="1:8" x14ac:dyDescent="0.3">
      <c r="A18" s="38" cm="1">
        <f t="array" ref="A18">DATE($A$3, MONTH($A$2&amp;1), ROW($A18:A18)-3)</f>
        <v>46037</v>
      </c>
      <c r="B18" s="64" t="str">
        <f t="shared" si="1"/>
        <v>czw</v>
      </c>
      <c r="C18" s="65"/>
      <c r="D18" s="66"/>
      <c r="E18" s="65" t="str">
        <f t="shared" si="0"/>
        <v/>
      </c>
      <c r="F18" s="67"/>
      <c r="G18" s="1" t="str">
        <f t="shared" si="2"/>
        <v/>
      </c>
      <c r="H18" s="5" t="str">
        <f t="shared" si="3"/>
        <v/>
      </c>
    </row>
    <row r="19" spans="1:8" x14ac:dyDescent="0.3">
      <c r="A19" s="38" cm="1">
        <f t="array" ref="A19">DATE($A$3, MONTH($A$2&amp;1), ROW($A19:A19)-3)</f>
        <v>46038</v>
      </c>
      <c r="B19" s="64" t="str">
        <f t="shared" si="1"/>
        <v>pt</v>
      </c>
      <c r="C19" s="65"/>
      <c r="D19" s="66"/>
      <c r="E19" s="65" t="str">
        <f t="shared" si="0"/>
        <v/>
      </c>
      <c r="F19" s="67"/>
      <c r="G19" s="1" t="str">
        <f t="shared" si="2"/>
        <v/>
      </c>
      <c r="H19" s="5" t="str">
        <f t="shared" si="3"/>
        <v/>
      </c>
    </row>
    <row r="20" spans="1:8" x14ac:dyDescent="0.3">
      <c r="A20" s="38" cm="1">
        <f t="array" ref="A20">DATE($A$3, MONTH($A$2&amp;1), ROW($A20:A20)-3)</f>
        <v>46039</v>
      </c>
      <c r="B20" s="43" t="str">
        <f t="shared" si="1"/>
        <v>sob</v>
      </c>
      <c r="C20" s="48"/>
      <c r="D20" s="48"/>
      <c r="E20" s="44" t="str">
        <f t="shared" si="0"/>
        <v/>
      </c>
      <c r="F20" s="45"/>
      <c r="G20" s="1" t="str">
        <f t="shared" si="2"/>
        <v/>
      </c>
      <c r="H20" s="5" t="str">
        <f t="shared" si="3"/>
        <v/>
      </c>
    </row>
    <row r="21" spans="1:8" x14ac:dyDescent="0.3">
      <c r="A21" s="38" cm="1">
        <f t="array" ref="A21">DATE($A$3, MONTH($A$2&amp;1), ROW($A21:A21)-3)</f>
        <v>46040</v>
      </c>
      <c r="B21" s="43" t="str">
        <f t="shared" si="1"/>
        <v>niedz</v>
      </c>
      <c r="C21" s="48"/>
      <c r="D21" s="48"/>
      <c r="E21" s="44" t="str">
        <f t="shared" si="0"/>
        <v/>
      </c>
      <c r="F21" s="45"/>
      <c r="G21" s="1" t="str">
        <f t="shared" si="2"/>
        <v/>
      </c>
      <c r="H21" s="5" t="str">
        <f t="shared" si="3"/>
        <v/>
      </c>
    </row>
    <row r="22" spans="1:8" x14ac:dyDescent="0.3">
      <c r="A22" s="38" cm="1">
        <f t="array" ref="A22">DATE($A$3, MONTH($A$2&amp;1), ROW($A22:A22)-3)</f>
        <v>46041</v>
      </c>
      <c r="B22" s="64" t="str">
        <f t="shared" si="1"/>
        <v>pon</v>
      </c>
      <c r="C22" s="65"/>
      <c r="D22" s="66"/>
      <c r="E22" s="65" t="str">
        <f t="shared" si="0"/>
        <v/>
      </c>
      <c r="F22" s="67"/>
      <c r="G22" s="1" t="str">
        <f t="shared" si="2"/>
        <v/>
      </c>
      <c r="H22" s="5" t="str">
        <f t="shared" si="3"/>
        <v/>
      </c>
    </row>
    <row r="23" spans="1:8" x14ac:dyDescent="0.3">
      <c r="A23" s="38" cm="1">
        <f t="array" ref="A23">DATE($A$3, MONTH($A$2&amp;1), ROW($A23:A23)-3)</f>
        <v>46042</v>
      </c>
      <c r="B23" s="64" t="str">
        <f t="shared" si="1"/>
        <v>wt</v>
      </c>
      <c r="C23" s="65"/>
      <c r="D23" s="66"/>
      <c r="E23" s="65" t="str">
        <f t="shared" si="0"/>
        <v/>
      </c>
      <c r="F23" s="67"/>
      <c r="G23" s="1" t="str">
        <f t="shared" si="2"/>
        <v/>
      </c>
      <c r="H23" s="5" t="str">
        <f t="shared" si="3"/>
        <v/>
      </c>
    </row>
    <row r="24" spans="1:8" x14ac:dyDescent="0.3">
      <c r="A24" s="38" cm="1">
        <f t="array" ref="A24">DATE($A$3, MONTH($A$2&amp;1), ROW($A24:A24)-3)</f>
        <v>46043</v>
      </c>
      <c r="B24" s="64" t="str">
        <f t="shared" si="1"/>
        <v>śr</v>
      </c>
      <c r="C24" s="65"/>
      <c r="D24" s="66"/>
      <c r="E24" s="65" t="str">
        <f t="shared" si="0"/>
        <v/>
      </c>
      <c r="F24" s="69"/>
      <c r="G24" s="1" t="str">
        <f t="shared" si="2"/>
        <v/>
      </c>
      <c r="H24" s="5" t="str">
        <f t="shared" si="3"/>
        <v/>
      </c>
    </row>
    <row r="25" spans="1:8" x14ac:dyDescent="0.3">
      <c r="A25" s="38" cm="1">
        <f t="array" ref="A25">DATE($A$3, MONTH($A$2&amp;1), ROW($A25:A25)-3)</f>
        <v>46044</v>
      </c>
      <c r="B25" s="64" t="str">
        <f t="shared" si="1"/>
        <v>czw</v>
      </c>
      <c r="C25" s="65"/>
      <c r="D25" s="66"/>
      <c r="E25" s="65" t="str">
        <f t="shared" si="0"/>
        <v/>
      </c>
      <c r="F25" s="67"/>
      <c r="G25" s="1" t="str">
        <f t="shared" si="2"/>
        <v/>
      </c>
      <c r="H25" s="5" t="str">
        <f t="shared" si="3"/>
        <v/>
      </c>
    </row>
    <row r="26" spans="1:8" x14ac:dyDescent="0.3">
      <c r="A26" s="38" cm="1">
        <f t="array" ref="A26">DATE($A$3, MONTH($A$2&amp;1), ROW($A26:A26)-3)</f>
        <v>46045</v>
      </c>
      <c r="B26" s="64" t="str">
        <f t="shared" si="1"/>
        <v>pt</v>
      </c>
      <c r="C26" s="65"/>
      <c r="D26" s="66"/>
      <c r="E26" s="65" t="str">
        <f t="shared" si="0"/>
        <v/>
      </c>
      <c r="F26" s="67"/>
      <c r="G26" s="1" t="str">
        <f t="shared" si="2"/>
        <v/>
      </c>
      <c r="H26" s="5" t="str">
        <f t="shared" si="3"/>
        <v/>
      </c>
    </row>
    <row r="27" spans="1:8" x14ac:dyDescent="0.3">
      <c r="A27" s="38" cm="1">
        <f t="array" ref="A27">DATE($A$3, MONTH($A$2&amp;1), ROW($A27:A27)-3)</f>
        <v>46046</v>
      </c>
      <c r="B27" s="43" t="str">
        <f t="shared" si="1"/>
        <v>sob</v>
      </c>
      <c r="C27" s="48"/>
      <c r="D27" s="48"/>
      <c r="E27" s="44" t="str">
        <f t="shared" si="0"/>
        <v/>
      </c>
      <c r="F27" s="45"/>
      <c r="G27" s="1" t="str">
        <f t="shared" si="2"/>
        <v/>
      </c>
      <c r="H27" s="5" t="str">
        <f t="shared" si="3"/>
        <v/>
      </c>
    </row>
    <row r="28" spans="1:8" x14ac:dyDescent="0.3">
      <c r="A28" s="38" cm="1">
        <f t="array" ref="A28">DATE($A$3, MONTH($A$2&amp;1), ROW($A28:A28)-3)</f>
        <v>46047</v>
      </c>
      <c r="B28" s="43" t="str">
        <f t="shared" si="1"/>
        <v>niedz</v>
      </c>
      <c r="C28" s="46"/>
      <c r="D28" s="46"/>
      <c r="E28" s="44" t="str">
        <f t="shared" si="0"/>
        <v/>
      </c>
      <c r="F28" s="45"/>
      <c r="G28" s="1" t="str">
        <f t="shared" si="2"/>
        <v/>
      </c>
      <c r="H28" s="5" t="str">
        <f t="shared" si="3"/>
        <v/>
      </c>
    </row>
    <row r="29" spans="1:8" x14ac:dyDescent="0.3">
      <c r="A29" s="38" cm="1">
        <f t="array" ref="A29">DATE($A$3, MONTH($A$2&amp;1), ROW($A29:A29)-3)</f>
        <v>46048</v>
      </c>
      <c r="B29" s="64" t="str">
        <f t="shared" si="1"/>
        <v>pon</v>
      </c>
      <c r="C29" s="65"/>
      <c r="D29" s="66"/>
      <c r="E29" s="65" t="str">
        <f t="shared" si="0"/>
        <v/>
      </c>
      <c r="F29" s="67"/>
      <c r="G29" s="1" t="str">
        <f t="shared" si="2"/>
        <v/>
      </c>
      <c r="H29" s="5" t="str">
        <f t="shared" si="3"/>
        <v/>
      </c>
    </row>
    <row r="30" spans="1:8" x14ac:dyDescent="0.3">
      <c r="A30" s="38" cm="1">
        <f t="array" ref="A30">DATE($A$3, MONTH($A$2&amp;1), ROW($A30:A30)-3)</f>
        <v>46049</v>
      </c>
      <c r="B30" s="64" t="str">
        <f t="shared" si="1"/>
        <v>wt</v>
      </c>
      <c r="C30" s="65"/>
      <c r="D30" s="66"/>
      <c r="E30" s="65" t="str">
        <f t="shared" si="0"/>
        <v/>
      </c>
      <c r="F30" s="67"/>
      <c r="G30" s="1" t="str">
        <f t="shared" si="2"/>
        <v/>
      </c>
      <c r="H30" s="5" t="str">
        <f t="shared" si="3"/>
        <v/>
      </c>
    </row>
    <row r="31" spans="1:8" x14ac:dyDescent="0.3">
      <c r="A31" s="38" cm="1">
        <f t="array" ref="A31">DATE($A$3, MONTH($A$2&amp;1), ROW($A31:A31)-3)</f>
        <v>46050</v>
      </c>
      <c r="B31" s="64" t="str">
        <f t="shared" si="1"/>
        <v>śr</v>
      </c>
      <c r="C31" s="65"/>
      <c r="D31" s="66"/>
      <c r="E31" s="65" t="str">
        <f t="shared" si="0"/>
        <v/>
      </c>
      <c r="F31" s="68"/>
      <c r="G31" s="1" t="str">
        <f t="shared" si="2"/>
        <v/>
      </c>
      <c r="H31" s="5" t="str">
        <f t="shared" si="3"/>
        <v/>
      </c>
    </row>
    <row r="32" spans="1:8" x14ac:dyDescent="0.3">
      <c r="A32" s="38" cm="1">
        <f t="array" ref="A32">DATE($A$3, MONTH($A$2&amp;1), ROW($A32:A32)-3)</f>
        <v>46051</v>
      </c>
      <c r="B32" s="64" t="str">
        <f t="shared" si="1"/>
        <v>czw</v>
      </c>
      <c r="C32" s="65"/>
      <c r="D32" s="66"/>
      <c r="E32" s="65" t="str">
        <f t="shared" si="0"/>
        <v/>
      </c>
      <c r="F32" s="67"/>
      <c r="G32" s="1" t="str">
        <f t="shared" si="2"/>
        <v/>
      </c>
      <c r="H32" s="5" t="str">
        <f t="shared" si="3"/>
        <v/>
      </c>
    </row>
    <row r="33" spans="1:10" x14ac:dyDescent="0.3">
      <c r="A33" s="38" cm="1">
        <f t="array" ref="A33">DATE($A$3, MONTH($A$2&amp;1), ROW($A33:A33)-3)</f>
        <v>46052</v>
      </c>
      <c r="B33" s="64" t="str">
        <f t="shared" si="1"/>
        <v>pt</v>
      </c>
      <c r="C33" s="65"/>
      <c r="D33" s="66"/>
      <c r="E33" s="65" t="str">
        <f t="shared" si="0"/>
        <v/>
      </c>
      <c r="F33" s="67"/>
      <c r="G33" s="1" t="str">
        <f t="shared" si="2"/>
        <v/>
      </c>
      <c r="H33" s="5" t="str">
        <f t="shared" si="3"/>
        <v/>
      </c>
    </row>
    <row r="34" spans="1:10" x14ac:dyDescent="0.3">
      <c r="A34" s="38" cm="1">
        <f t="array" ref="A34">DATE($A$3, MONTH($A$2&amp;1), ROW($A34:A34)-3)</f>
        <v>46053</v>
      </c>
      <c r="B34" s="43" t="str">
        <f t="shared" si="1"/>
        <v>sob</v>
      </c>
      <c r="C34" s="44"/>
      <c r="D34" s="44"/>
      <c r="E34" s="44" t="str">
        <f t="shared" si="0"/>
        <v/>
      </c>
      <c r="F34" s="45"/>
      <c r="G34" s="1" t="str">
        <f t="shared" si="2"/>
        <v/>
      </c>
      <c r="H34" s="5" t="str">
        <f t="shared" si="3"/>
        <v/>
      </c>
    </row>
    <row r="35" spans="1:10" x14ac:dyDescent="0.3">
      <c r="A35" s="8" t="s">
        <v>3</v>
      </c>
      <c r="B35" s="8" t="s">
        <v>7</v>
      </c>
      <c r="C35" s="89">
        <f>SUM(E4:E34)</f>
        <v>0</v>
      </c>
      <c r="D35" s="89"/>
      <c r="E35" s="89"/>
      <c r="F35" s="39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3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10" x14ac:dyDescent="0.3">
      <c r="A36" s="9" t="str">
        <f>IF(OR(ROUND(C35,2)=ROUND(B42*'Styczeń 2026'!$B$51,2),C35&gt;B42*'Styczeń 2026'!$B$51),"DO ODBIORU:","DO ZROBIENIA:")</f>
        <v>DO ZROBIENIA:</v>
      </c>
      <c r="B36" s="10" t="s">
        <v>7</v>
      </c>
      <c r="C36" s="90">
        <f>IF(B42*B51-C35&lt;0,C35-B42*B51,B42*B51-C35)</f>
        <v>7.333333333333333</v>
      </c>
      <c r="D36" s="91"/>
      <c r="E36" s="92"/>
      <c r="F36" s="93"/>
    </row>
    <row r="37" spans="1:10" x14ac:dyDescent="0.3">
      <c r="A37" s="11" t="s">
        <v>4</v>
      </c>
      <c r="B37" s="12" t="s">
        <v>7</v>
      </c>
      <c r="C37" s="94">
        <f>COUNTIF(F:F,"urlop")/3*B51</f>
        <v>0</v>
      </c>
      <c r="D37" s="95"/>
      <c r="E37" s="96"/>
      <c r="F37" s="93"/>
    </row>
    <row r="38" spans="1:10" x14ac:dyDescent="0.3">
      <c r="A38" s="17" t="str">
        <f>IF(OR(C36-C37&lt;=0,A36="DO ODBIORU:"),"POZOST. DO ODBIORU","POZOST. DO ZROBIENIA")</f>
        <v>POZOST. DO ZROBIENIA</v>
      </c>
      <c r="B38" s="103" t="s">
        <v>7</v>
      </c>
      <c r="C38" s="97">
        <f>IF(A36="DO ZROBIENIA:",IF(C37-C36&gt;0,C37-C36,C36-C37),C36+C37)</f>
        <v>7.333333333333333</v>
      </c>
      <c r="D38" s="98"/>
      <c r="E38" s="99"/>
      <c r="F38" s="93"/>
    </row>
    <row r="39" spans="1:10" x14ac:dyDescent="0.3">
      <c r="A39" s="60" t="s">
        <v>5</v>
      </c>
      <c r="B39" s="104"/>
      <c r="C39" s="100"/>
      <c r="D39" s="101"/>
      <c r="E39" s="102"/>
      <c r="F39" s="93"/>
    </row>
    <row r="40" spans="1:10" x14ac:dyDescent="0.3">
      <c r="A40" s="13"/>
      <c r="B40" s="13"/>
      <c r="C40" s="13"/>
      <c r="D40" s="13"/>
      <c r="E40" s="13"/>
      <c r="F40" s="13"/>
    </row>
    <row r="41" spans="1:10" x14ac:dyDescent="0.3">
      <c r="A41" s="13"/>
      <c r="B41" s="13"/>
      <c r="C41" s="13"/>
      <c r="D41" s="13"/>
      <c r="E41" s="13"/>
      <c r="F41" s="13"/>
    </row>
    <row r="42" spans="1:10" x14ac:dyDescent="0.3">
      <c r="A42" s="14" t="s">
        <v>6</v>
      </c>
      <c r="B42" s="53">
        <v>7.333333333333333</v>
      </c>
      <c r="C42" s="13"/>
      <c r="D42" s="13"/>
      <c r="E42" s="13"/>
      <c r="F42" s="13"/>
      <c r="J42" s="53"/>
    </row>
    <row r="43" spans="1:10" ht="15" thickBot="1" x14ac:dyDescent="0.35">
      <c r="A43" s="13"/>
      <c r="B43" s="15"/>
      <c r="C43" s="13"/>
      <c r="D43" s="13"/>
      <c r="E43" s="13"/>
      <c r="F43" s="13"/>
    </row>
    <row r="44" spans="1:10" ht="15" thickBot="1" x14ac:dyDescent="0.35">
      <c r="A44" s="16" t="str">
        <f>IF(B51=1,
IF(AND(C47=0,C48=0,A38="POZOST. DO ODBIORU"),"Nadgodziny "&amp;A3,
IF(AND(C47=0,C48=0,A38="POZOST. DO ZROBIENIA"),"Niedogodziny "&amp;A3,
IF(AND(C47&gt;0,A38="POZOST. DO ODBIORU"),"Nadgodziny "&amp;A3,
IF(AND(C47&gt;0,A38="POZOST. DO ZROBIENIA",C47-C38&lt;0),"Niedogodziny "&amp;A3,
IF(AND(C47&gt;0,A38="POZOST. DO ZROBIENIA",C38-C47&lt;0),"Nadgodziny "&amp;A3,
IF(AND(C48&gt;0,A38="POZOST. DO ZROBIENIA"),"Niedogodziny "&amp;A3,
IF(AND(C48&gt;0,A38="POZOST. DO ODBIORU",C48-C38&lt;0),"Nadgodziny "&amp;A3,
IF(AND(C48&gt;0,A38="POZOST. DO ODBIORU",C38-C48&lt;0),"Niedogodziny "&amp;A3,"błąd")))))))),
"Nadgodziny "&amp;A3)</f>
        <v>Niedogodziny 2026</v>
      </c>
      <c r="B44" s="55">
        <f>IF(B51=1,
IFERROR(
IF(AND(C47&gt;0,A38="POZOST. DO ODBIORU"),C38+C47-C48,
IF(AND(C47&gt;0,A38="POZOST. DO ZROBIENIA",C38-C47&lt;0),C47-C38-C48,
IF(AND(C47&gt;0,A38="POZOST. DO ZROBIENIA",C47-C38&lt;0),C38-C47-C48,
IF(AND(C48&gt;0,A38="POZOST. DO ZROBIENIA"),C38+C48,
IF(AND(C48&gt;0,A38="POZOST. DO ODBIORU",C38-C48&lt;0),C48-C38,
IF(AND(C48&gt;0,A38="POZOST. DO ODBIORU",C48-C38&lt;0),C38-C48,
IF(OR(C47=0,C48=0),C38,"błąd"))))))),
"błąd"),"-")</f>
        <v>7.333333333333333</v>
      </c>
      <c r="C44" s="13"/>
      <c r="E44" s="13"/>
      <c r="F44" s="13"/>
    </row>
    <row r="45" spans="1:10" x14ac:dyDescent="0.3">
      <c r="C45" s="13"/>
      <c r="D45" s="13"/>
      <c r="E45" s="13"/>
      <c r="F45" s="13"/>
    </row>
    <row r="46" spans="1:10" ht="15" thickBot="1" x14ac:dyDescent="0.35"/>
    <row r="47" spans="1:10" x14ac:dyDescent="0.3">
      <c r="A47" s="77" t="s">
        <v>15</v>
      </c>
      <c r="B47" s="78"/>
      <c r="C47" s="56">
        <v>0</v>
      </c>
      <c r="F47" s="42"/>
    </row>
    <row r="48" spans="1:10" ht="15" thickBot="1" x14ac:dyDescent="0.35">
      <c r="A48" s="79" t="s">
        <v>16</v>
      </c>
      <c r="B48" s="80"/>
      <c r="C48" s="57">
        <v>0</v>
      </c>
      <c r="F48" s="42"/>
    </row>
    <row r="50" spans="1:6" ht="15" thickBot="1" x14ac:dyDescent="0.35"/>
    <row r="51" spans="1:6" ht="15" thickBot="1" x14ac:dyDescent="0.35">
      <c r="A51" s="16" t="s">
        <v>25</v>
      </c>
      <c r="B51" s="63">
        <v>1</v>
      </c>
      <c r="F51" s="42"/>
    </row>
    <row r="52" spans="1:6" x14ac:dyDescent="0.3">
      <c r="F52" s="42"/>
    </row>
  </sheetData>
  <mergeCells count="10">
    <mergeCell ref="A47:B47"/>
    <mergeCell ref="A48:B48"/>
    <mergeCell ref="A1:B1"/>
    <mergeCell ref="C1:F2"/>
    <mergeCell ref="C35:E35"/>
    <mergeCell ref="C36:E36"/>
    <mergeCell ref="F36:F39"/>
    <mergeCell ref="C37:E37"/>
    <mergeCell ref="C38:E39"/>
    <mergeCell ref="B38:B39"/>
  </mergeCells>
  <phoneticPr fontId="14" type="noConversion"/>
  <conditionalFormatting sqref="B44">
    <cfRule type="expression" dxfId="71" priority="7">
      <formula>$A$44="nadgodziny " &amp; $A$3</formula>
    </cfRule>
    <cfRule type="expression" dxfId="70" priority="9">
      <formula>$A$44="niedogodziny " &amp; $A$3</formula>
    </cfRule>
  </conditionalFormatting>
  <conditionalFormatting sqref="C38">
    <cfRule type="expression" dxfId="69" priority="5">
      <formula>$A$38="POZOST. DO ODBIORU"</formula>
    </cfRule>
    <cfRule type="expression" dxfId="68" priority="6">
      <formula>$A$38="POZOST. DO ZROBIENIA"</formula>
    </cfRule>
  </conditionalFormatting>
  <conditionalFormatting sqref="H35">
    <cfRule type="expression" dxfId="67" priority="1">
      <formula>$G$35="Nadgodziny (obecny m-c)"</formula>
    </cfRule>
    <cfRule type="expression" dxfId="66" priority="2">
      <formula>$G$35="Niedogodziny (obecny m-c)"</formula>
    </cfRule>
  </conditionalFormatting>
  <dataValidations count="1">
    <dataValidation type="list" allowBlank="1" showInputMessage="1" showErrorMessage="1" sqref="F4:F34" xr:uid="{00000000-0002-0000-0000-000000000000}">
      <formula1>"biuro,zdalnie,urlop"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areSheetsForNewYear">
                <anchor moveWithCells="1" sizeWithCells="1">
                  <from>
                    <xdr:col>5</xdr:col>
                    <xdr:colOff>22860</xdr:colOff>
                    <xdr:row>46</xdr:row>
                    <xdr:rowOff>15240</xdr:rowOff>
                  </from>
                  <to>
                    <xdr:col>5</xdr:col>
                    <xdr:colOff>1409700</xdr:colOff>
                    <xdr:row>47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TakenDayOff">
                <anchor moveWithCells="1" sizeWithCells="1">
                  <from>
                    <xdr:col>5</xdr:col>
                    <xdr:colOff>22860</xdr:colOff>
                    <xdr:row>50</xdr:row>
                    <xdr:rowOff>15240</xdr:rowOff>
                  </from>
                  <to>
                    <xdr:col>5</xdr:col>
                    <xdr:colOff>1409700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N44"/>
  <sheetViews>
    <sheetView workbookViewId="0">
      <selection sqref="A1:B1"/>
    </sheetView>
  </sheetViews>
  <sheetFormatPr defaultRowHeight="14.4" x14ac:dyDescent="0.3"/>
  <cols>
    <col min="1" max="1" width="18.77734375" customWidth="1"/>
    <col min="2" max="2" width="13.33203125" customWidth="1"/>
    <col min="3" max="4" width="8.88671875" customWidth="1"/>
    <col min="6" max="6" width="20.77734375" customWidth="1"/>
    <col min="7" max="7" width="25.77734375" customWidth="1"/>
    <col min="8" max="8" width="8.77734375" customWidth="1"/>
  </cols>
  <sheetData>
    <row r="1" spans="1:8" ht="15" customHeight="1" x14ac:dyDescent="0.3">
      <c r="A1" s="81" t="s">
        <v>24</v>
      </c>
      <c r="B1" s="82"/>
      <c r="C1" s="83" t="s">
        <v>14</v>
      </c>
      <c r="D1" s="84"/>
      <c r="E1" s="84"/>
      <c r="F1" s="85"/>
    </row>
    <row r="2" spans="1:8" x14ac:dyDescent="0.3">
      <c r="A2" s="6" t="s">
        <v>9</v>
      </c>
      <c r="B2" s="6" t="s">
        <v>7</v>
      </c>
      <c r="C2" s="86"/>
      <c r="D2" s="87"/>
      <c r="E2" s="87"/>
      <c r="F2" s="88"/>
    </row>
    <row r="3" spans="1:8" ht="27.6" x14ac:dyDescent="0.3">
      <c r="A3" s="6">
        <v>2026</v>
      </c>
      <c r="B3" s="6" t="s">
        <v>7</v>
      </c>
      <c r="C3" s="7" t="s">
        <v>0</v>
      </c>
      <c r="D3" s="7" t="s">
        <v>1</v>
      </c>
      <c r="E3" s="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46054</v>
      </c>
      <c r="B4" s="49" t="str">
        <f t="shared" ref="B4:B31" si="0">TEXT(A4,"ddd")</f>
        <v>niedz</v>
      </c>
      <c r="C4" s="48"/>
      <c r="D4" s="48"/>
      <c r="E4" s="44" t="str">
        <f>IFERROR(IF(AND(C4&lt;&gt;"",D4&lt;&gt;"",D4-C4&gt;=0),D4-C4,""),"")</f>
        <v/>
      </c>
      <c r="F4" s="45"/>
      <c r="G4" s="1" t="str">
        <f>IF('Styczeń 2026'!$B$51=1,IFERROR(IF(E4&lt;&gt;"",IF(AND(D4-C4&lt;1/3,B4&lt;&gt;"sob",B4&lt;&gt;"niedz"),"Niedogodziny","Nadgodziny"),""),""),"")</f>
        <v/>
      </c>
      <c r="H4" s="5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46055</v>
      </c>
      <c r="B5" s="70" t="str">
        <f t="shared" si="0"/>
        <v>pon</v>
      </c>
      <c r="C5" s="65"/>
      <c r="D5" s="66"/>
      <c r="E5" s="65" t="str">
        <f t="shared" ref="E5:E31" si="1">IFERROR(IF(AND(C5&lt;&gt;"",D5&lt;&gt;"",D5-C5&gt;=0),D5-C5,""),"")</f>
        <v/>
      </c>
      <c r="F5" s="67"/>
      <c r="G5" s="1" t="str">
        <f>IF('Styczeń 2026'!$B$51=1,IFERROR(IF(E5&lt;&gt;"",IF(AND(D5-C5&lt;1/3,B5&lt;&gt;"sob",B5&lt;&gt;"niedz"),"Niedogodziny","Nadgodziny"),""),""),"")</f>
        <v/>
      </c>
      <c r="H5" s="5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46056</v>
      </c>
      <c r="B6" s="70" t="str">
        <f t="shared" si="0"/>
        <v>wt</v>
      </c>
      <c r="C6" s="65"/>
      <c r="D6" s="66"/>
      <c r="E6" s="65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5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46057</v>
      </c>
      <c r="B7" s="70" t="str">
        <f t="shared" si="0"/>
        <v>śr</v>
      </c>
      <c r="C7" s="65"/>
      <c r="D7" s="66"/>
      <c r="E7" s="65" t="str">
        <f t="shared" si="1"/>
        <v/>
      </c>
      <c r="F7" s="68"/>
      <c r="G7" s="1" t="str">
        <f>IF('Styczeń 2026'!$B$51=1,IFERROR(IF(E7&lt;&gt;"",IF(AND(D7-C7&lt;1/3,B7&lt;&gt;"sob",B7&lt;&gt;"niedz"),"Niedogodziny","Nadgodziny"),""),""),"")</f>
        <v/>
      </c>
      <c r="H7" s="5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46058</v>
      </c>
      <c r="B8" s="70" t="str">
        <f t="shared" si="0"/>
        <v>czw</v>
      </c>
      <c r="C8" s="65"/>
      <c r="D8" s="66"/>
      <c r="E8" s="65" t="str">
        <f t="shared" si="1"/>
        <v/>
      </c>
      <c r="F8" s="67"/>
      <c r="G8" s="1" t="str">
        <f>IF('Styczeń 2026'!$B$51=1,IFERROR(IF(E8&lt;&gt;"",IF(AND(D8-C8&lt;1/3,B8&lt;&gt;"sob",B8&lt;&gt;"niedz"),"Niedogodziny","Nadgodziny"),""),""),"")</f>
        <v/>
      </c>
      <c r="H8" s="5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46059</v>
      </c>
      <c r="B9" s="70" t="str">
        <f t="shared" si="0"/>
        <v>pt</v>
      </c>
      <c r="C9" s="65"/>
      <c r="D9" s="66"/>
      <c r="E9" s="65" t="str">
        <f t="shared" si="1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5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46060</v>
      </c>
      <c r="B10" s="49" t="str">
        <f t="shared" si="0"/>
        <v>sob</v>
      </c>
      <c r="C10" s="48"/>
      <c r="D10" s="48"/>
      <c r="E10" s="44" t="str">
        <f t="shared" si="1"/>
        <v/>
      </c>
      <c r="F10" s="45"/>
      <c r="G10" s="1" t="str">
        <f>IF('Styczeń 2026'!$B$51=1,IFERROR(IF(E10&lt;&gt;"",IF(AND(D10-C10&lt;1/3,B10&lt;&gt;"sob",B10&lt;&gt;"niedz"),"Niedogodziny","Nadgodziny"),""),""),"")</f>
        <v/>
      </c>
      <c r="H10" s="5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46061</v>
      </c>
      <c r="B11" s="49" t="str">
        <f t="shared" si="0"/>
        <v>niedz</v>
      </c>
      <c r="C11" s="48"/>
      <c r="D11" s="48"/>
      <c r="E11" s="44" t="str">
        <f t="shared" si="1"/>
        <v/>
      </c>
      <c r="F11" s="45"/>
      <c r="G11" s="1" t="str">
        <f>IF('Styczeń 2026'!$B$51=1,IFERROR(IF(E11&lt;&gt;"",IF(AND(D11-C11&lt;1/3,B11&lt;&gt;"sob",B11&lt;&gt;"niedz"),"Niedogodziny","Nadgodziny"),""),""),"")</f>
        <v/>
      </c>
      <c r="H11" s="5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46062</v>
      </c>
      <c r="B12" s="70" t="str">
        <f t="shared" si="0"/>
        <v>pon</v>
      </c>
      <c r="C12" s="65"/>
      <c r="D12" s="66"/>
      <c r="E12" s="65" t="str">
        <f t="shared" si="1"/>
        <v/>
      </c>
      <c r="F12" s="67"/>
      <c r="G12" s="1" t="str">
        <f>IF('Styczeń 2026'!$B$51=1,IFERROR(IF(E12&lt;&gt;"",IF(AND(D12-C12&lt;1/3,B12&lt;&gt;"sob",B12&lt;&gt;"niedz"),"Niedogodziny","Nadgodziny"),""),""),"")</f>
        <v/>
      </c>
      <c r="H12" s="5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46063</v>
      </c>
      <c r="B13" s="70" t="str">
        <f t="shared" si="0"/>
        <v>wt</v>
      </c>
      <c r="C13" s="65"/>
      <c r="D13" s="66"/>
      <c r="E13" s="65" t="str">
        <f t="shared" si="1"/>
        <v/>
      </c>
      <c r="F13" s="67"/>
      <c r="G13" s="1" t="str">
        <f>IF('Styczeń 2026'!$B$51=1,IFERROR(IF(E13&lt;&gt;"",IF(AND(D13-C13&lt;1/3,B13&lt;&gt;"sob",B13&lt;&gt;"niedz"),"Niedogodziny","Nadgodziny"),""),""),"")</f>
        <v/>
      </c>
      <c r="H13" s="5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46064</v>
      </c>
      <c r="B14" s="70" t="str">
        <f t="shared" si="0"/>
        <v>śr</v>
      </c>
      <c r="C14" s="65"/>
      <c r="D14" s="66"/>
      <c r="E14" s="65" t="str">
        <f t="shared" si="1"/>
        <v/>
      </c>
      <c r="F14" s="68"/>
      <c r="G14" s="1" t="str">
        <f>IF('Styczeń 2026'!$B$51=1,IFERROR(IF(E14&lt;&gt;"",IF(AND(D14-C14&lt;1/3,B14&lt;&gt;"sob",B14&lt;&gt;"niedz"),"Niedogodziny","Nadgodziny"),""),""),"")</f>
        <v/>
      </c>
      <c r="H14" s="5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46065</v>
      </c>
      <c r="B15" s="70" t="str">
        <f t="shared" si="0"/>
        <v>czw</v>
      </c>
      <c r="C15" s="65"/>
      <c r="D15" s="66"/>
      <c r="E15" s="65" t="str">
        <f t="shared" si="1"/>
        <v/>
      </c>
      <c r="F15" s="67"/>
      <c r="G15" s="1" t="str">
        <f>IF('Styczeń 2026'!$B$51=1,IFERROR(IF(E15&lt;&gt;"",IF(AND(D15-C15&lt;1/3,B15&lt;&gt;"sob",B15&lt;&gt;"niedz"),"Niedogodziny","Nadgodziny"),""),""),"")</f>
        <v/>
      </c>
      <c r="H15" s="5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46066</v>
      </c>
      <c r="B16" s="70" t="str">
        <f t="shared" si="0"/>
        <v>pt</v>
      </c>
      <c r="C16" s="65"/>
      <c r="D16" s="66"/>
      <c r="E16" s="65" t="str">
        <f t="shared" si="1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5" t="str">
        <f>IF('Styczeń 2026'!$B$51=1,IFERROR(IF(AND(E16&lt;&gt;"",OR(B16="sob",B16="niedz")),E16,IF(AND(E16&lt;&gt;"",1/3-E16&gt;0),1/3-E16,IF(AND(E16&lt;&gt;"",E16-1/3&gt;=0),E16-1/3,""))),""),"")</f>
        <v/>
      </c>
    </row>
    <row r="17" spans="1:13" x14ac:dyDescent="0.3">
      <c r="A17" s="38" cm="1">
        <f t="array" ref="A17">DATE($A$3, MONTH($A$2&amp;1), ROW($A17:A17)-3)</f>
        <v>46067</v>
      </c>
      <c r="B17" s="49" t="str">
        <f t="shared" si="0"/>
        <v>sob</v>
      </c>
      <c r="C17" s="44"/>
      <c r="D17" s="44"/>
      <c r="E17" s="44" t="str">
        <f t="shared" si="1"/>
        <v/>
      </c>
      <c r="F17" s="45"/>
      <c r="G17" s="1" t="str">
        <f>IF('Styczeń 2026'!$B$51=1,IFERROR(IF(E17&lt;&gt;"",IF(AND(D17-C17&lt;1/3,B17&lt;&gt;"sob",B17&lt;&gt;"niedz"),"Niedogodziny","Nadgodziny"),""),""),"")</f>
        <v/>
      </c>
      <c r="H17" s="5" t="str">
        <f>IF('Styczeń 2026'!$B$51=1,IFERROR(IF(AND(E17&lt;&gt;"",OR(B17="sob",B17="niedz")),E17,IF(AND(E17&lt;&gt;"",1/3-E17&gt;0),1/3-E17,IF(AND(E17&lt;&gt;"",E17-1/3&gt;=0),E17-1/3,""))),""),"")</f>
        <v/>
      </c>
    </row>
    <row r="18" spans="1:13" x14ac:dyDescent="0.3">
      <c r="A18" s="38" cm="1">
        <f t="array" ref="A18">DATE($A$3, MONTH($A$2&amp;1), ROW($A18:A18)-3)</f>
        <v>46068</v>
      </c>
      <c r="B18" s="49" t="str">
        <f t="shared" si="0"/>
        <v>niedz</v>
      </c>
      <c r="C18" s="46"/>
      <c r="D18" s="46"/>
      <c r="E18" s="44" t="str">
        <f t="shared" si="1"/>
        <v/>
      </c>
      <c r="F18" s="45"/>
      <c r="G18" s="1" t="str">
        <f>IF('Styczeń 2026'!$B$51=1,IFERROR(IF(E18&lt;&gt;"",IF(AND(D18-C18&lt;1/3,B18&lt;&gt;"sob",B18&lt;&gt;"niedz"),"Niedogodziny","Nadgodziny"),""),""),"")</f>
        <v/>
      </c>
      <c r="H18" s="5" t="str">
        <f>IF('Styczeń 2026'!$B$51=1,IFERROR(IF(AND(E18&lt;&gt;"",OR(B18="sob",B18="niedz")),E18,IF(AND(E18&lt;&gt;"",1/3-E18&gt;0),1/3-E18,IF(AND(E18&lt;&gt;"",E18-1/3&gt;=0),E18-1/3,""))),""),"")</f>
        <v/>
      </c>
    </row>
    <row r="19" spans="1:13" x14ac:dyDescent="0.3">
      <c r="A19" s="38" cm="1">
        <f t="array" ref="A19">DATE($A$3, MONTH($A$2&amp;1), ROW($A19:A19)-3)</f>
        <v>46069</v>
      </c>
      <c r="B19" s="70" t="str">
        <f t="shared" si="0"/>
        <v>pon</v>
      </c>
      <c r="C19" s="65"/>
      <c r="D19" s="66"/>
      <c r="E19" s="65" t="str">
        <f t="shared" si="1"/>
        <v/>
      </c>
      <c r="F19" s="67"/>
      <c r="G19" s="1" t="str">
        <f>IF('Styczeń 2026'!$B$51=1,IFERROR(IF(E19&lt;&gt;"",IF(AND(D19-C19&lt;1/3,B19&lt;&gt;"sob",B19&lt;&gt;"niedz"),"Niedogodziny","Nadgodziny"),""),""),"")</f>
        <v/>
      </c>
      <c r="H19" s="5" t="str">
        <f>IF('Styczeń 2026'!$B$51=1,IFERROR(IF(AND(E19&lt;&gt;"",OR(B19="sob",B19="niedz")),E19,IF(AND(E19&lt;&gt;"",1/3-E19&gt;0),1/3-E19,IF(AND(E19&lt;&gt;"",E19-1/3&gt;=0),E19-1/3,""))),""),"")</f>
        <v/>
      </c>
    </row>
    <row r="20" spans="1:13" x14ac:dyDescent="0.3">
      <c r="A20" s="38" cm="1">
        <f t="array" ref="A20">DATE($A$3, MONTH($A$2&amp;1), ROW($A20:A20)-3)</f>
        <v>46070</v>
      </c>
      <c r="B20" s="70" t="str">
        <f t="shared" si="0"/>
        <v>wt</v>
      </c>
      <c r="C20" s="65"/>
      <c r="D20" s="66"/>
      <c r="E20" s="65" t="str">
        <f t="shared" si="1"/>
        <v/>
      </c>
      <c r="F20" s="68"/>
      <c r="G20" s="1" t="str">
        <f>IF('Styczeń 2026'!$B$51=1,IFERROR(IF(E20&lt;&gt;"",IF(AND(D20-C20&lt;1/3,B20&lt;&gt;"sob",B20&lt;&gt;"niedz"),"Niedogodziny","Nadgodziny"),""),""),"")</f>
        <v/>
      </c>
      <c r="H20" s="5" t="str">
        <f>IF('Styczeń 2026'!$B$51=1,IFERROR(IF(AND(E20&lt;&gt;"",OR(B20="sob",B20="niedz")),E20,IF(AND(E20&lt;&gt;"",1/3-E20&gt;0),1/3-E20,IF(AND(E20&lt;&gt;"",E20-1/3&gt;=0),E20-1/3,""))),""),"")</f>
        <v/>
      </c>
    </row>
    <row r="21" spans="1:13" x14ac:dyDescent="0.3">
      <c r="A21" s="38" cm="1">
        <f t="array" ref="A21">DATE($A$3, MONTH($A$2&amp;1), ROW($A21:A21)-3)</f>
        <v>46071</v>
      </c>
      <c r="B21" s="70" t="str">
        <f t="shared" si="0"/>
        <v>śr</v>
      </c>
      <c r="C21" s="65"/>
      <c r="D21" s="66"/>
      <c r="E21" s="65" t="str">
        <f t="shared" si="1"/>
        <v/>
      </c>
      <c r="F21" s="68"/>
      <c r="G21" s="1" t="str">
        <f>IF('Styczeń 2026'!$B$51=1,IFERROR(IF(E21&lt;&gt;"",IF(AND(D21-C21&lt;1/3,B21&lt;&gt;"sob",B21&lt;&gt;"niedz"),"Niedogodziny","Nadgodziny"),""),""),"")</f>
        <v/>
      </c>
      <c r="H21" s="5" t="str">
        <f>IF('Styczeń 2026'!$B$51=1,IFERROR(IF(AND(E21&lt;&gt;"",OR(B21="sob",B21="niedz")),E21,IF(AND(E21&lt;&gt;"",1/3-E21&gt;0),1/3-E21,IF(AND(E21&lt;&gt;"",E21-1/3&gt;=0),E21-1/3,""))),""),"")</f>
        <v/>
      </c>
    </row>
    <row r="22" spans="1:13" x14ac:dyDescent="0.3">
      <c r="A22" s="38" cm="1">
        <f t="array" ref="A22">DATE($A$3, MONTH($A$2&amp;1), ROW($A22:A22)-3)</f>
        <v>46072</v>
      </c>
      <c r="B22" s="70" t="str">
        <f t="shared" si="0"/>
        <v>czw</v>
      </c>
      <c r="C22" s="65"/>
      <c r="D22" s="66"/>
      <c r="E22" s="65" t="str">
        <f t="shared" si="1"/>
        <v/>
      </c>
      <c r="F22" s="67"/>
      <c r="G22" s="1" t="str">
        <f>IF('Styczeń 2026'!$B$51=1,IFERROR(IF(E22&lt;&gt;"",IF(AND(D22-C22&lt;1/3,B22&lt;&gt;"sob",B22&lt;&gt;"niedz"),"Niedogodziny","Nadgodziny"),""),""),"")</f>
        <v/>
      </c>
      <c r="H22" s="5" t="str">
        <f>IF('Styczeń 2026'!$B$51=1,IFERROR(IF(AND(E22&lt;&gt;"",OR(B22="sob",B22="niedz")),E22,IF(AND(E22&lt;&gt;"",1/3-E22&gt;0),1/3-E22,IF(AND(E22&lt;&gt;"",E22-1/3&gt;=0),E22-1/3,""))),""),"")</f>
        <v/>
      </c>
    </row>
    <row r="23" spans="1:13" x14ac:dyDescent="0.3">
      <c r="A23" s="38" cm="1">
        <f t="array" ref="A23">DATE($A$3, MONTH($A$2&amp;1), ROW($A23:A23)-3)</f>
        <v>46073</v>
      </c>
      <c r="B23" s="70" t="str">
        <f t="shared" si="0"/>
        <v>pt</v>
      </c>
      <c r="C23" s="65"/>
      <c r="D23" s="66"/>
      <c r="E23" s="65" t="str">
        <f t="shared" si="1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5" t="str">
        <f>IF('Styczeń 2026'!$B$51=1,IFERROR(IF(AND(E23&lt;&gt;"",OR(B23="sob",B23="niedz")),E23,IF(AND(E23&lt;&gt;"",1/3-E23&gt;0),1/3-E23,IF(AND(E23&lt;&gt;"",E23-1/3&gt;=0),E23-1/3,""))),""),"")</f>
        <v/>
      </c>
    </row>
    <row r="24" spans="1:13" x14ac:dyDescent="0.3">
      <c r="A24" s="38" cm="1">
        <f t="array" ref="A24">DATE($A$3, MONTH($A$2&amp;1), ROW($A24:A24)-3)</f>
        <v>46074</v>
      </c>
      <c r="B24" s="49" t="str">
        <f t="shared" si="0"/>
        <v>sob</v>
      </c>
      <c r="C24" s="44"/>
      <c r="D24" s="44"/>
      <c r="E24" s="44" t="str">
        <f t="shared" si="1"/>
        <v/>
      </c>
      <c r="F24" s="45"/>
      <c r="G24" s="1" t="str">
        <f>IF('Styczeń 2026'!$B$51=1,IFERROR(IF(E24&lt;&gt;"",IF(AND(D24-C24&lt;1/3,B24&lt;&gt;"sob",B24&lt;&gt;"niedz"),"Niedogodziny","Nadgodziny"),""),""),"")</f>
        <v/>
      </c>
      <c r="H24" s="5" t="str">
        <f>IF('Styczeń 2026'!$B$51=1,IFERROR(IF(AND(E24&lt;&gt;"",OR(B24="sob",B24="niedz")),E24,IF(AND(E24&lt;&gt;"",1/3-E24&gt;0),1/3-E24,IF(AND(E24&lt;&gt;"",E24-1/3&gt;=0),E24-1/3,""))),""),"")</f>
        <v/>
      </c>
    </row>
    <row r="25" spans="1:13" x14ac:dyDescent="0.3">
      <c r="A25" s="38" cm="1">
        <f t="array" ref="A25">DATE($A$3, MONTH($A$2&amp;1), ROW($A25:A25)-3)</f>
        <v>46075</v>
      </c>
      <c r="B25" s="49" t="str">
        <f t="shared" si="0"/>
        <v>niedz</v>
      </c>
      <c r="C25" s="44"/>
      <c r="D25" s="44"/>
      <c r="E25" s="44" t="str">
        <f t="shared" si="1"/>
        <v/>
      </c>
      <c r="F25" s="45"/>
      <c r="G25" s="1" t="str">
        <f>IF('Styczeń 2026'!$B$51=1,IFERROR(IF(E25&lt;&gt;"",IF(AND(D25-C25&lt;1/3,B25&lt;&gt;"sob",B25&lt;&gt;"niedz"),"Niedogodziny","Nadgodziny"),""),""),"")</f>
        <v/>
      </c>
      <c r="H25" s="5" t="str">
        <f>IF('Styczeń 2026'!$B$51=1,IFERROR(IF(AND(E25&lt;&gt;"",OR(B25="sob",B25="niedz")),E25,IF(AND(E25&lt;&gt;"",1/3-E25&gt;0),1/3-E25,IF(AND(E25&lt;&gt;"",E25-1/3&gt;=0),E25-1/3,""))),""),"")</f>
        <v/>
      </c>
    </row>
    <row r="26" spans="1:13" x14ac:dyDescent="0.3">
      <c r="A26" s="38" cm="1">
        <f t="array" ref="A26">DATE($A$3, MONTH($A$2&amp;1), ROW($A26:A26)-3)</f>
        <v>46076</v>
      </c>
      <c r="B26" s="70" t="str">
        <f t="shared" si="0"/>
        <v>pon</v>
      </c>
      <c r="C26" s="65"/>
      <c r="D26" s="66"/>
      <c r="E26" s="65" t="str">
        <f t="shared" si="1"/>
        <v/>
      </c>
      <c r="F26" s="67"/>
      <c r="G26" s="1" t="str">
        <f>IF('Styczeń 2026'!$B$51=1,IFERROR(IF(E26&lt;&gt;"",IF(AND(D26-C26&lt;1/3,B26&lt;&gt;"sob",B26&lt;&gt;"niedz"),"Niedogodziny","Nadgodziny"),""),""),"")</f>
        <v/>
      </c>
      <c r="H26" s="5" t="str">
        <f>IF('Styczeń 2026'!$B$51=1,IFERROR(IF(AND(E26&lt;&gt;"",OR(B26="sob",B26="niedz")),E26,IF(AND(E26&lt;&gt;"",1/3-E26&gt;0),1/3-E26,IF(AND(E26&lt;&gt;"",E26-1/3&gt;=0),E26-1/3,""))),""),"")</f>
        <v/>
      </c>
      <c r="M26" s="24"/>
    </row>
    <row r="27" spans="1:13" x14ac:dyDescent="0.3">
      <c r="A27" s="38" cm="1">
        <f t="array" ref="A27">DATE($A$3, MONTH($A$2&amp;1), ROW($A27:A27)-3)</f>
        <v>46077</v>
      </c>
      <c r="B27" s="70" t="str">
        <f t="shared" si="0"/>
        <v>wt</v>
      </c>
      <c r="C27" s="65"/>
      <c r="D27" s="66"/>
      <c r="E27" s="65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5" t="str">
        <f>IF('Styczeń 2026'!$B$51=1,IFERROR(IF(AND(E27&lt;&gt;"",OR(B27="sob",B27="niedz")),E27,IF(AND(E27&lt;&gt;"",1/3-E27&gt;0),1/3-E27,IF(AND(E27&lt;&gt;"",E27-1/3&gt;=0),E27-1/3,""))),""),"")</f>
        <v/>
      </c>
      <c r="M27" s="24"/>
    </row>
    <row r="28" spans="1:13" x14ac:dyDescent="0.3">
      <c r="A28" s="38" cm="1">
        <f t="array" ref="A28">DATE($A$3, MONTH($A$2&amp;1), ROW($A28:A28)-3)</f>
        <v>46078</v>
      </c>
      <c r="B28" s="70" t="str">
        <f t="shared" si="0"/>
        <v>śr</v>
      </c>
      <c r="C28" s="65"/>
      <c r="D28" s="66"/>
      <c r="E28" s="65" t="str">
        <f t="shared" si="1"/>
        <v/>
      </c>
      <c r="F28" s="68"/>
      <c r="G28" s="1" t="str">
        <f>IF('Styczeń 2026'!$B$51=1,IFERROR(IF(E28&lt;&gt;"",IF(AND(D28-C28&lt;1/3,B28&lt;&gt;"sob",B28&lt;&gt;"niedz"),"Niedogodziny","Nadgodziny"),""),""),"")</f>
        <v/>
      </c>
      <c r="H28" s="5" t="str">
        <f>IF('Styczeń 2026'!$B$51=1,IFERROR(IF(AND(E28&lt;&gt;"",OR(B28="sob",B28="niedz")),E28,IF(AND(E28&lt;&gt;"",1/3-E28&gt;0),1/3-E28,IF(AND(E28&lt;&gt;"",E28-1/3&gt;=0),E28-1/3,""))),""),"")</f>
        <v/>
      </c>
    </row>
    <row r="29" spans="1:13" x14ac:dyDescent="0.3">
      <c r="A29" s="38" cm="1">
        <f t="array" ref="A29">DATE($A$3, MONTH($A$2&amp;1), ROW($A29:A29)-3)</f>
        <v>46079</v>
      </c>
      <c r="B29" s="70" t="str">
        <f t="shared" si="0"/>
        <v>czw</v>
      </c>
      <c r="C29" s="65"/>
      <c r="D29" s="66"/>
      <c r="E29" s="65" t="str">
        <f t="shared" si="1"/>
        <v/>
      </c>
      <c r="F29" s="67"/>
      <c r="G29" s="1" t="str">
        <f>IF('Styczeń 2026'!$B$51=1,IFERROR(IF(E29&lt;&gt;"",IF(AND(D29-C29&lt;1/3,B29&lt;&gt;"sob",B29&lt;&gt;"niedz"),"Niedogodziny","Nadgodziny"),""),""),"")</f>
        <v/>
      </c>
      <c r="H29" s="5" t="str">
        <f>IF('Styczeń 2026'!$B$51=1,IFERROR(IF(AND(E29&lt;&gt;"",OR(B29="sob",B29="niedz")),E29,IF(AND(E29&lt;&gt;"",1/3-E29&gt;0),1/3-E29,IF(AND(E29&lt;&gt;"",E29-1/3&gt;=0),E29-1/3,""))),""),"")</f>
        <v/>
      </c>
      <c r="M29" s="24"/>
    </row>
    <row r="30" spans="1:13" x14ac:dyDescent="0.3">
      <c r="A30" s="38" cm="1">
        <f t="array" ref="A30">DATE($A$3, MONTH($A$2&amp;1), ROW($A30:A30)-3)</f>
        <v>46080</v>
      </c>
      <c r="B30" s="70" t="str">
        <f t="shared" si="0"/>
        <v>pt</v>
      </c>
      <c r="C30" s="65"/>
      <c r="D30" s="66"/>
      <c r="E30" s="65" t="str">
        <f t="shared" si="1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5" t="str">
        <f>IF('Styczeń 2026'!$B$51=1,IFERROR(IF(AND(E30&lt;&gt;"",OR(B30="sob",B30="niedz")),E30,IF(AND(E30&lt;&gt;"",1/3-E30&gt;0),1/3-E30,IF(AND(E30&lt;&gt;"",E30-1/3&gt;=0),E30-1/3,""))),""),"")</f>
        <v/>
      </c>
      <c r="M30" s="24"/>
    </row>
    <row r="31" spans="1:13" x14ac:dyDescent="0.3">
      <c r="A31" s="38" cm="1">
        <f t="array" ref="A31">DATE($A$3, MONTH($A$2&amp;1), ROW($A31:A31)-3)</f>
        <v>46081</v>
      </c>
      <c r="B31" s="49" t="str">
        <f t="shared" si="0"/>
        <v>sob</v>
      </c>
      <c r="C31" s="44"/>
      <c r="D31" s="44"/>
      <c r="E31" s="44" t="str">
        <f t="shared" si="1"/>
        <v/>
      </c>
      <c r="F31" s="45"/>
      <c r="G31" s="1" t="str">
        <f>IF('Styczeń 2026'!$B$51=1,IFERROR(IF(E31&lt;&gt;"",IF(AND(D31-C31&lt;1/3,B31&lt;&gt;"sob",B31&lt;&gt;"niedz"),"Niedogodziny","Nadgodziny"),""),""),"")</f>
        <v/>
      </c>
      <c r="H31" s="5" t="str">
        <f>IF('Styczeń 2026'!$B$51=1,IFERROR(IF(AND(E31&lt;&gt;"",OR(B31="sob",B31="niedz")),E31,IF(AND(E31&lt;&gt;"",1/3-E31&gt;0),1/3-E31,IF(AND(E31&lt;&gt;"",E31-1/3&gt;=0),E31-1/3,""))),""),"")</f>
        <v/>
      </c>
      <c r="M31" s="24"/>
    </row>
    <row r="32" spans="1:13" x14ac:dyDescent="0.3">
      <c r="A32" s="8" t="s">
        <v>3</v>
      </c>
      <c r="B32" s="8" t="s">
        <v>7</v>
      </c>
      <c r="C32" s="105">
        <f>SUM(E4:E31)</f>
        <v>0</v>
      </c>
      <c r="D32" s="105"/>
      <c r="E32" s="105"/>
      <c r="F32" s="39" t="s">
        <v>7</v>
      </c>
      <c r="G32" s="4" t="str">
        <f>IF(SUMIF(G4:G31,"Nadgodziny",H4:H31) - SUMIF(G4:G31,"Niedogodziny",H4:H31) &gt;= 0,"Nadgodziny (obecny m-c)", "Niedogodziny (obecny m-c)")</f>
        <v>Nadgodziny (obecny m-c)</v>
      </c>
      <c r="H32" s="53">
        <f>IF(SUMIF(G4:G31,"Nadgodziny",H4:H31) - SUMIF(G4:G31,"Niedogodziny",H4:H31) &gt; 0,SUMIF(G4:G31,"Nadgodziny",H4:H31) - SUMIF(G4:G31,"Niedogodziny",H4:H31), SUMIF(G4:G31,"Niedogodziny",H4:H31) - SUMIF(G4:G31,"Nadgodziny",H4:H31))</f>
        <v>0</v>
      </c>
    </row>
    <row r="33" spans="1:14" x14ac:dyDescent="0.3">
      <c r="A33" s="9" t="str">
        <f>IF(OR(ROUND(C32,2)=ROUND(B42*'Styczeń 2026'!$B$51,2),C32&gt;B42*'Styczeń 2026'!$B$51),"DO ODBIORU:","DO ZROBIENIA:")</f>
        <v>DO ZROBIENIA:</v>
      </c>
      <c r="B33" s="10" t="s">
        <v>7</v>
      </c>
      <c r="C33" s="106">
        <f>IF(B42*'Styczeń 2026'!B51-C32&lt;0,C32-B42*'Styczeń 2026'!B51,B42*'Styczeń 2026'!B51-C32)</f>
        <v>6.666666666666667</v>
      </c>
      <c r="D33" s="107"/>
      <c r="E33" s="108"/>
      <c r="F33" s="109"/>
      <c r="J33" s="61"/>
    </row>
    <row r="34" spans="1:14" ht="14.4" customHeight="1" x14ac:dyDescent="0.3">
      <c r="A34" s="11" t="s">
        <v>4</v>
      </c>
      <c r="B34" s="12" t="s">
        <v>7</v>
      </c>
      <c r="C34" s="94">
        <f>COUNTIF(F:F,"urlop")/3*'Styczeń 2026'!B51</f>
        <v>0</v>
      </c>
      <c r="D34" s="95"/>
      <c r="E34" s="96"/>
      <c r="F34" s="110"/>
      <c r="K34" s="20"/>
      <c r="N34" s="20"/>
    </row>
    <row r="35" spans="1:14" ht="14.4" customHeight="1" x14ac:dyDescent="0.3">
      <c r="A35" s="17" t="str">
        <f>IF(OR(C33-C34&lt;=0,A33="DO ODBIORU:"),"POZOST. DO ODBIORU","POZOST. DO ZROBIENIA")</f>
        <v>POZOST. DO ZROBIENIA</v>
      </c>
      <c r="B35" s="103" t="s">
        <v>7</v>
      </c>
      <c r="C35" s="111">
        <f>IF(A33="DO ZROBIENIA:",IF(C34-C33&gt;0,C34-C33,C33-C34),C33+C34)</f>
        <v>6.666666666666667</v>
      </c>
      <c r="D35" s="112"/>
      <c r="E35" s="113"/>
      <c r="F35" s="110"/>
    </row>
    <row r="36" spans="1:14" ht="14.4" customHeight="1" x14ac:dyDescent="0.3">
      <c r="A36" s="60" t="s">
        <v>5</v>
      </c>
      <c r="B36" s="104"/>
      <c r="C36" s="114"/>
      <c r="D36" s="115"/>
      <c r="E36" s="116"/>
      <c r="F36" s="110"/>
      <c r="K36" s="20"/>
      <c r="N36" s="20"/>
    </row>
    <row r="37" spans="1:14" x14ac:dyDescent="0.3">
      <c r="A37" s="13"/>
      <c r="B37" s="13"/>
      <c r="C37" s="13"/>
      <c r="D37" s="13"/>
      <c r="E37" s="13"/>
      <c r="F37" s="13"/>
    </row>
    <row r="38" spans="1:14" x14ac:dyDescent="0.3">
      <c r="A38" s="13"/>
      <c r="B38" s="13"/>
      <c r="C38" s="13"/>
      <c r="D38" s="13"/>
      <c r="E38" s="13"/>
      <c r="F38" s="13"/>
    </row>
    <row r="39" spans="1:14" x14ac:dyDescent="0.3">
      <c r="C39" s="13"/>
      <c r="D39" s="13"/>
      <c r="E39" s="13"/>
      <c r="F39" s="13"/>
    </row>
    <row r="40" spans="1:14" x14ac:dyDescent="0.3">
      <c r="C40" s="13"/>
      <c r="D40" s="13"/>
      <c r="E40" s="13"/>
      <c r="F40" s="13"/>
    </row>
    <row r="41" spans="1:14" x14ac:dyDescent="0.3">
      <c r="C41" s="13"/>
      <c r="D41" s="13"/>
      <c r="E41" s="13"/>
      <c r="F41" s="13"/>
    </row>
    <row r="42" spans="1:14" x14ac:dyDescent="0.3">
      <c r="A42" s="14" t="s">
        <v>6</v>
      </c>
      <c r="B42" s="53">
        <v>6.666666666666667</v>
      </c>
      <c r="C42" s="20"/>
    </row>
    <row r="43" spans="1:14" ht="15" thickBot="1" x14ac:dyDescent="0.35">
      <c r="A43" s="13"/>
      <c r="B43" s="18"/>
    </row>
    <row r="44" spans="1:14" ht="15" thickBot="1" x14ac:dyDescent="0.35">
      <c r="A44" s="16" t="str">
        <f>IF('Styczeń 2026'!B51=1,
IF(AND('Styczeń 2026'!A44="Nadgodziny "&amp;A3,A35="POZOST. DO ODBIORU"),"Nadgodziny "&amp;A3,
IF(AND('Styczeń 2026'!A44="Niedogodziny "&amp;A3,A35="POZOST. DO ZROBIENIA"),"Niedogodziny "&amp;A3,
IF(AND('Styczeń 2026'!A44="Nadgodziny "&amp;A3,A35="POZOST. DO ZROBIENIA"),
IF('Styczeń 2026'!B44-C35&lt;0,"Niedogodziny "&amp;A3,"Nadgodziny "&amp;A3),
IF(AND('Styczeń 2026'!A44="Niedogodziny " &amp;A3,A35="POZOST. DO ODBIORU"),
IF(C35-'Styczeń 2026'!B44&lt;0,"Niedogodziny "&amp;A3,"Nadgodziny "&amp;A3),"błąd")))),
"Nadgodziny "&amp;A3)</f>
        <v>Niedogodziny 2026</v>
      </c>
      <c r="B44" s="54">
        <f>IF('Styczeń 2026'!B51=1,
IFERROR(
IF(AND('Styczeń 2026'!A44="Nadgodziny "&amp;A3,A35="POZOST. DO ODBIORU"),'Styczeń 2026'!B44+C35,
IF(AND('Styczeń 2026'!A44="Niedogodziny "&amp;A3,A35="POZOST. DO ZROBIENIA"),'Styczeń 2026'!B44+C35,
IF(AND('Styczeń 2026'!A44="Nadgodziny "&amp;A3,A35="POZOST. DO ZROBIENIA",'Styczeń 2026'!B44-C35&lt;0),C35-'Styczeń 2026'!B44,
IF(AND('Styczeń 2026'!A44="Nadgodziny "&amp;A3,A35="POZOST. DO ZROBIENIA",C35-'Styczeń 2026'!B44&lt;0),'Styczeń 2026'!B44-C35,
IF(AND('Styczeń 2026'!A44="Niedogodziny "&amp;A3,A35="POZOST. DO ODBIORU",'Styczeń 2026'!B44-C35&lt;0),C35-'Styczeń 2026'!B44,
IF(AND('Styczeń 2026'!A44="Niedogodziny "&amp;A3,A35="POZOST. DO ODBIORU",C35-'Styczeń 2026'!B44&lt;0),'Styczeń 2026'!B44-C35,"błąd")))))),
"błąd"),"-")</f>
        <v>14</v>
      </c>
    </row>
  </sheetData>
  <mergeCells count="8">
    <mergeCell ref="A1:B1"/>
    <mergeCell ref="C1:F2"/>
    <mergeCell ref="C32:E32"/>
    <mergeCell ref="C33:E33"/>
    <mergeCell ref="F33:F36"/>
    <mergeCell ref="C35:E36"/>
    <mergeCell ref="C34:E34"/>
    <mergeCell ref="B35:B36"/>
  </mergeCells>
  <phoneticPr fontId="14" type="noConversion"/>
  <conditionalFormatting sqref="H32">
    <cfRule type="expression" dxfId="65" priority="1">
      <formula>$G$32="Nadgodziny (obecny m-c)"</formula>
    </cfRule>
    <cfRule type="expression" dxfId="64" priority="2">
      <formula>$G$32="Niedogodziny (obecny m-c)"</formula>
    </cfRule>
  </conditionalFormatting>
  <conditionalFormatting sqref="C35">
    <cfRule type="expression" dxfId="63" priority="3">
      <formula>$A$35="POZOST. DO ODBIORU"</formula>
    </cfRule>
    <cfRule type="expression" dxfId="62" priority="4">
      <formula>$A$35="POZOST. DO ZROBIENIA"</formula>
    </cfRule>
  </conditionalFormatting>
  <conditionalFormatting sqref="B44">
    <cfRule type="expression" dxfId="61" priority="5">
      <formula>$A$44="nadgodziny " &amp; $A$3</formula>
    </cfRule>
    <cfRule type="expression" dxfId="60" priority="6">
      <formula>$A$44="niedogodziny " &amp; $A$3</formula>
    </cfRule>
  </conditionalFormatting>
  <dataValidations count="1">
    <dataValidation type="list" allowBlank="1" showInputMessage="1" showErrorMessage="1" sqref="F4:F31" xr:uid="{00000000-0002-0000-0100-000000000000}">
      <formula1>"biuro,zdalnie,urlop"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L45"/>
  <sheetViews>
    <sheetView workbookViewId="0">
      <selection sqref="A1:B1"/>
    </sheetView>
  </sheetViews>
  <sheetFormatPr defaultRowHeight="14.4" x14ac:dyDescent="0.3"/>
  <cols>
    <col min="1" max="1" width="18.77734375" customWidth="1"/>
    <col min="2" max="2" width="13.33203125" customWidth="1"/>
    <col min="4" max="4" width="8.88671875" customWidth="1"/>
    <col min="6" max="6" width="20.77734375" customWidth="1"/>
    <col min="7" max="7" width="25.77734375" customWidth="1"/>
    <col min="8" max="8" width="8.77734375" customWidth="1"/>
  </cols>
  <sheetData>
    <row r="1" spans="1:9" ht="15" customHeight="1" x14ac:dyDescent="0.3">
      <c r="A1" s="81" t="s">
        <v>24</v>
      </c>
      <c r="B1" s="82"/>
      <c r="C1" s="117" t="s">
        <v>14</v>
      </c>
      <c r="D1" s="84"/>
      <c r="E1" s="84"/>
      <c r="F1" s="85"/>
    </row>
    <row r="2" spans="1:9" x14ac:dyDescent="0.3">
      <c r="A2" s="6" t="s">
        <v>10</v>
      </c>
      <c r="B2" s="6" t="s">
        <v>7</v>
      </c>
      <c r="C2" s="86"/>
      <c r="D2" s="87"/>
      <c r="E2" s="87"/>
      <c r="F2" s="88"/>
    </row>
    <row r="3" spans="1:9" ht="27.6" x14ac:dyDescent="0.3">
      <c r="A3" s="6">
        <v>2026</v>
      </c>
      <c r="B3" s="21" t="s">
        <v>7</v>
      </c>
      <c r="C3" s="7" t="s">
        <v>0</v>
      </c>
      <c r="D3" s="7" t="s">
        <v>1</v>
      </c>
      <c r="E3" s="7" t="s">
        <v>2</v>
      </c>
      <c r="F3" s="2" t="s">
        <v>23</v>
      </c>
    </row>
    <row r="4" spans="1:9" x14ac:dyDescent="0.3">
      <c r="A4" s="38" cm="1">
        <f t="array" ref="A4">DATE($A$3, MONTH($A$2&amp;1), ROW($A4:A4)-3)</f>
        <v>46082</v>
      </c>
      <c r="B4" s="49" t="str">
        <f t="shared" ref="B4:B34" si="0">TEXT(A4,"ddd")</f>
        <v>niedz</v>
      </c>
      <c r="C4" s="46"/>
      <c r="D4" s="46"/>
      <c r="E4" s="44" t="str">
        <f>IFERROR(IF(AND(C4&lt;&gt;"",D4&lt;&gt;"",D4-C4&gt;=0),D4-C4,""),"")</f>
        <v/>
      </c>
      <c r="F4" s="45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  <c r="I4" s="24"/>
    </row>
    <row r="5" spans="1:9" x14ac:dyDescent="0.3">
      <c r="A5" s="38" cm="1">
        <f t="array" ref="A5">DATE($A$3, MONTH($A$2&amp;1), ROW($A5:A5)-3)</f>
        <v>46083</v>
      </c>
      <c r="B5" s="70" t="str">
        <f t="shared" si="0"/>
        <v>pon</v>
      </c>
      <c r="C5" s="65"/>
      <c r="D5" s="66"/>
      <c r="E5" s="65" t="str">
        <f t="shared" ref="E5:E34" si="1">IFERROR(IF(AND(C5&lt;&gt;"",D5&lt;&gt;"",D5-C5&gt;=0),D5-C5,""),"")</f>
        <v/>
      </c>
      <c r="F5" s="68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  <c r="I5" s="24"/>
    </row>
    <row r="6" spans="1:9" x14ac:dyDescent="0.3">
      <c r="A6" s="38" cm="1">
        <f t="array" ref="A6">DATE($A$3, MONTH($A$2&amp;1), ROW($A6:A6)-3)</f>
        <v>46084</v>
      </c>
      <c r="B6" s="70" t="str">
        <f t="shared" si="0"/>
        <v>wt</v>
      </c>
      <c r="C6" s="65"/>
      <c r="D6" s="66"/>
      <c r="E6" s="65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  <c r="I6" s="24"/>
    </row>
    <row r="7" spans="1:9" x14ac:dyDescent="0.3">
      <c r="A7" s="38" cm="1">
        <f t="array" ref="A7">DATE($A$3, MONTH($A$2&amp;1), ROW($A7:A7)-3)</f>
        <v>46085</v>
      </c>
      <c r="B7" s="70" t="str">
        <f t="shared" si="0"/>
        <v>śr</v>
      </c>
      <c r="C7" s="65"/>
      <c r="D7" s="66"/>
      <c r="E7" s="65" t="str">
        <f t="shared" si="1"/>
        <v/>
      </c>
      <c r="F7" s="67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  <c r="I7" s="24"/>
    </row>
    <row r="8" spans="1:9" x14ac:dyDescent="0.3">
      <c r="A8" s="38" cm="1">
        <f t="array" ref="A8">DATE($A$3, MONTH($A$2&amp;1), ROW($A8:A8)-3)</f>
        <v>46086</v>
      </c>
      <c r="B8" s="70" t="str">
        <f t="shared" si="0"/>
        <v>czw</v>
      </c>
      <c r="C8" s="65"/>
      <c r="D8" s="66"/>
      <c r="E8" s="65" t="str">
        <f t="shared" si="1"/>
        <v/>
      </c>
      <c r="F8" s="67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  <c r="I8" s="24"/>
    </row>
    <row r="9" spans="1:9" x14ac:dyDescent="0.3">
      <c r="A9" s="38" cm="1">
        <f t="array" ref="A9">DATE($A$3, MONTH($A$2&amp;1), ROW($A9:A9)-3)</f>
        <v>46087</v>
      </c>
      <c r="B9" s="70" t="str">
        <f t="shared" si="0"/>
        <v>pt</v>
      </c>
      <c r="C9" s="65"/>
      <c r="D9" s="66"/>
      <c r="E9" s="65" t="str">
        <f t="shared" si="1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  <c r="I9" s="24"/>
    </row>
    <row r="10" spans="1:9" x14ac:dyDescent="0.3">
      <c r="A10" s="38" cm="1">
        <f t="array" ref="A10">DATE($A$3, MONTH($A$2&amp;1), ROW($A10:A10)-3)</f>
        <v>46088</v>
      </c>
      <c r="B10" s="49" t="str">
        <f t="shared" si="0"/>
        <v>sob</v>
      </c>
      <c r="C10" s="48"/>
      <c r="D10" s="48"/>
      <c r="E10" s="44" t="str">
        <f t="shared" si="1"/>
        <v/>
      </c>
      <c r="F10" s="45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  <c r="I10" s="24"/>
    </row>
    <row r="11" spans="1:9" x14ac:dyDescent="0.3">
      <c r="A11" s="38" cm="1">
        <f t="array" ref="A11">DATE($A$3, MONTH($A$2&amp;1), ROW($A11:A11)-3)</f>
        <v>46089</v>
      </c>
      <c r="B11" s="49" t="str">
        <f t="shared" si="0"/>
        <v>niedz</v>
      </c>
      <c r="C11" s="48"/>
      <c r="D11" s="48"/>
      <c r="E11" s="44" t="str">
        <f t="shared" si="1"/>
        <v/>
      </c>
      <c r="F11" s="45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  <c r="I11" s="24"/>
    </row>
    <row r="12" spans="1:9" x14ac:dyDescent="0.3">
      <c r="A12" s="38" cm="1">
        <f t="array" ref="A12">DATE($A$3, MONTH($A$2&amp;1), ROW($A12:A12)-3)</f>
        <v>46090</v>
      </c>
      <c r="B12" s="70" t="str">
        <f t="shared" si="0"/>
        <v>pon</v>
      </c>
      <c r="C12" s="65"/>
      <c r="D12" s="66"/>
      <c r="E12" s="65" t="str">
        <f t="shared" si="1"/>
        <v/>
      </c>
      <c r="F12" s="67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  <c r="I12" s="24"/>
    </row>
    <row r="13" spans="1:9" x14ac:dyDescent="0.3">
      <c r="A13" s="38" cm="1">
        <f t="array" ref="A13">DATE($A$3, MONTH($A$2&amp;1), ROW($A13:A13)-3)</f>
        <v>46091</v>
      </c>
      <c r="B13" s="70" t="str">
        <f t="shared" si="0"/>
        <v>wt</v>
      </c>
      <c r="C13" s="65"/>
      <c r="D13" s="66"/>
      <c r="E13" s="65" t="str">
        <f t="shared" si="1"/>
        <v/>
      </c>
      <c r="F13" s="67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  <c r="I13" s="24"/>
    </row>
    <row r="14" spans="1:9" x14ac:dyDescent="0.3">
      <c r="A14" s="38" cm="1">
        <f t="array" ref="A14">DATE($A$3, MONTH($A$2&amp;1), ROW($A14:A14)-3)</f>
        <v>46092</v>
      </c>
      <c r="B14" s="70" t="str">
        <f t="shared" si="0"/>
        <v>śr</v>
      </c>
      <c r="C14" s="65"/>
      <c r="D14" s="66"/>
      <c r="E14" s="65" t="str">
        <f t="shared" si="1"/>
        <v/>
      </c>
      <c r="F14" s="68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  <c r="I14" s="24"/>
    </row>
    <row r="15" spans="1:9" x14ac:dyDescent="0.3">
      <c r="A15" s="38" cm="1">
        <f t="array" ref="A15">DATE($A$3, MONTH($A$2&amp;1), ROW($A15:A15)-3)</f>
        <v>46093</v>
      </c>
      <c r="B15" s="70" t="str">
        <f t="shared" si="0"/>
        <v>czw</v>
      </c>
      <c r="C15" s="65"/>
      <c r="D15" s="66"/>
      <c r="E15" s="65" t="str">
        <f t="shared" si="1"/>
        <v/>
      </c>
      <c r="F15" s="67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  <c r="I15" s="24"/>
    </row>
    <row r="16" spans="1:9" x14ac:dyDescent="0.3">
      <c r="A16" s="38" cm="1">
        <f t="array" ref="A16">DATE($A$3, MONTH($A$2&amp;1), ROW($A16:A16)-3)</f>
        <v>46094</v>
      </c>
      <c r="B16" s="70" t="str">
        <f t="shared" si="0"/>
        <v>pt</v>
      </c>
      <c r="C16" s="65"/>
      <c r="D16" s="66"/>
      <c r="E16" s="65" t="str">
        <f t="shared" si="1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  <c r="I16" s="24"/>
    </row>
    <row r="17" spans="1:9" x14ac:dyDescent="0.3">
      <c r="A17" s="38" cm="1">
        <f t="array" ref="A17">DATE($A$3, MONTH($A$2&amp;1), ROW($A17:A17)-3)</f>
        <v>46095</v>
      </c>
      <c r="B17" s="49" t="str">
        <f t="shared" si="0"/>
        <v>sob</v>
      </c>
      <c r="C17" s="48"/>
      <c r="D17" s="48"/>
      <c r="E17" s="44" t="str">
        <f t="shared" si="1"/>
        <v/>
      </c>
      <c r="F17" s="45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  <c r="I17" s="24"/>
    </row>
    <row r="18" spans="1:9" x14ac:dyDescent="0.3">
      <c r="A18" s="38" cm="1">
        <f t="array" ref="A18">DATE($A$3, MONTH($A$2&amp;1), ROW($A18:A18)-3)</f>
        <v>46096</v>
      </c>
      <c r="B18" s="49" t="str">
        <f t="shared" si="0"/>
        <v>niedz</v>
      </c>
      <c r="C18" s="48"/>
      <c r="D18" s="48"/>
      <c r="E18" s="44" t="str">
        <f t="shared" si="1"/>
        <v/>
      </c>
      <c r="F18" s="45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  <c r="I18" s="24"/>
    </row>
    <row r="19" spans="1:9" x14ac:dyDescent="0.3">
      <c r="A19" s="38" cm="1">
        <f t="array" ref="A19">DATE($A$3, MONTH($A$2&amp;1), ROW($A19:A19)-3)</f>
        <v>46097</v>
      </c>
      <c r="B19" s="70" t="str">
        <f t="shared" si="0"/>
        <v>pon</v>
      </c>
      <c r="C19" s="65"/>
      <c r="D19" s="66"/>
      <c r="E19" s="65" t="str">
        <f t="shared" si="1"/>
        <v/>
      </c>
      <c r="F19" s="67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  <c r="I19" s="24"/>
    </row>
    <row r="20" spans="1:9" x14ac:dyDescent="0.3">
      <c r="A20" s="38" cm="1">
        <f t="array" ref="A20">DATE($A$3, MONTH($A$2&amp;1), ROW($A20:A20)-3)</f>
        <v>46098</v>
      </c>
      <c r="B20" s="70" t="str">
        <f t="shared" si="0"/>
        <v>wt</v>
      </c>
      <c r="C20" s="65"/>
      <c r="D20" s="66"/>
      <c r="E20" s="65" t="str">
        <f t="shared" si="1"/>
        <v/>
      </c>
      <c r="F20" s="67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  <c r="I20" s="24"/>
    </row>
    <row r="21" spans="1:9" x14ac:dyDescent="0.3">
      <c r="A21" s="38" cm="1">
        <f t="array" ref="A21">DATE($A$3, MONTH($A$2&amp;1), ROW($A21:A21)-3)</f>
        <v>46099</v>
      </c>
      <c r="B21" s="70" t="str">
        <f t="shared" si="0"/>
        <v>śr</v>
      </c>
      <c r="C21" s="65"/>
      <c r="D21" s="66"/>
      <c r="E21" s="65" t="str">
        <f t="shared" si="1"/>
        <v/>
      </c>
      <c r="F21" s="67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  <c r="I21" s="24"/>
    </row>
    <row r="22" spans="1:9" x14ac:dyDescent="0.3">
      <c r="A22" s="38" cm="1">
        <f t="array" ref="A22">DATE($A$3, MONTH($A$2&amp;1), ROW($A22:A22)-3)</f>
        <v>46100</v>
      </c>
      <c r="B22" s="70" t="str">
        <f t="shared" si="0"/>
        <v>czw</v>
      </c>
      <c r="C22" s="65"/>
      <c r="D22" s="66"/>
      <c r="E22" s="65" t="str">
        <f t="shared" si="1"/>
        <v/>
      </c>
      <c r="F22" s="67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  <c r="I22" s="24"/>
    </row>
    <row r="23" spans="1:9" x14ac:dyDescent="0.3">
      <c r="A23" s="38" cm="1">
        <f t="array" ref="A23">DATE($A$3, MONTH($A$2&amp;1), ROW($A23:A23)-3)</f>
        <v>46101</v>
      </c>
      <c r="B23" s="70" t="str">
        <f t="shared" si="0"/>
        <v>pt</v>
      </c>
      <c r="C23" s="65"/>
      <c r="D23" s="66"/>
      <c r="E23" s="65" t="str">
        <f t="shared" si="1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  <c r="I23" s="24"/>
    </row>
    <row r="24" spans="1:9" x14ac:dyDescent="0.3">
      <c r="A24" s="38" cm="1">
        <f t="array" ref="A24">DATE($A$3, MONTH($A$2&amp;1), ROW($A24:A24)-3)</f>
        <v>46102</v>
      </c>
      <c r="B24" s="49" t="str">
        <f t="shared" si="0"/>
        <v>sob</v>
      </c>
      <c r="C24" s="48"/>
      <c r="D24" s="48"/>
      <c r="E24" s="44" t="str">
        <f t="shared" si="1"/>
        <v/>
      </c>
      <c r="F24" s="45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  <c r="I24" s="24"/>
    </row>
    <row r="25" spans="1:9" x14ac:dyDescent="0.3">
      <c r="A25" s="38" cm="1">
        <f t="array" ref="A25">DATE($A$3, MONTH($A$2&amp;1), ROW($A25:A25)-3)</f>
        <v>46103</v>
      </c>
      <c r="B25" s="49" t="str">
        <f t="shared" si="0"/>
        <v>niedz</v>
      </c>
      <c r="C25" s="48"/>
      <c r="D25" s="48"/>
      <c r="E25" s="44" t="str">
        <f t="shared" si="1"/>
        <v/>
      </c>
      <c r="F25" s="45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  <c r="I25" s="24"/>
    </row>
    <row r="26" spans="1:9" x14ac:dyDescent="0.3">
      <c r="A26" s="38" cm="1">
        <f t="array" ref="A26">DATE($A$3, MONTH($A$2&amp;1), ROW($A26:A26)-3)</f>
        <v>46104</v>
      </c>
      <c r="B26" s="70" t="str">
        <f t="shared" si="0"/>
        <v>pon</v>
      </c>
      <c r="C26" s="65"/>
      <c r="D26" s="66"/>
      <c r="E26" s="65" t="str">
        <f t="shared" si="1"/>
        <v/>
      </c>
      <c r="F26" s="67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  <c r="I26" s="24"/>
    </row>
    <row r="27" spans="1:9" x14ac:dyDescent="0.3">
      <c r="A27" s="38" cm="1">
        <f t="array" ref="A27">DATE($A$3, MONTH($A$2&amp;1), ROW($A27:A27)-3)</f>
        <v>46105</v>
      </c>
      <c r="B27" s="70" t="str">
        <f t="shared" si="0"/>
        <v>wt</v>
      </c>
      <c r="C27" s="65"/>
      <c r="D27" s="66"/>
      <c r="E27" s="65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  <c r="I27" s="24"/>
    </row>
    <row r="28" spans="1:9" x14ac:dyDescent="0.3">
      <c r="A28" s="38" cm="1">
        <f t="array" ref="A28">DATE($A$3, MONTH($A$2&amp;1), ROW($A28:A28)-3)</f>
        <v>46106</v>
      </c>
      <c r="B28" s="70" t="str">
        <f t="shared" si="0"/>
        <v>śr</v>
      </c>
      <c r="C28" s="65"/>
      <c r="D28" s="66"/>
      <c r="E28" s="65" t="str">
        <f t="shared" si="1"/>
        <v/>
      </c>
      <c r="F28" s="67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  <c r="I28" s="24"/>
    </row>
    <row r="29" spans="1:9" x14ac:dyDescent="0.3">
      <c r="A29" s="38" cm="1">
        <f t="array" ref="A29">DATE($A$3, MONTH($A$2&amp;1), ROW($A29:A29)-3)</f>
        <v>46107</v>
      </c>
      <c r="B29" s="70" t="str">
        <f t="shared" si="0"/>
        <v>czw</v>
      </c>
      <c r="C29" s="65"/>
      <c r="D29" s="66"/>
      <c r="E29" s="65" t="str">
        <f t="shared" si="1"/>
        <v/>
      </c>
      <c r="F29" s="67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  <c r="I29" s="24"/>
    </row>
    <row r="30" spans="1:9" x14ac:dyDescent="0.3">
      <c r="A30" s="38" cm="1">
        <f t="array" ref="A30">DATE($A$3, MONTH($A$2&amp;1), ROW($A30:A30)-3)</f>
        <v>46108</v>
      </c>
      <c r="B30" s="70" t="str">
        <f t="shared" si="0"/>
        <v>pt</v>
      </c>
      <c r="C30" s="65"/>
      <c r="D30" s="66"/>
      <c r="E30" s="65" t="str">
        <f t="shared" si="1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  <c r="I30" s="24"/>
    </row>
    <row r="31" spans="1:9" x14ac:dyDescent="0.3">
      <c r="A31" s="38" cm="1">
        <f t="array" ref="A31">DATE($A$3, MONTH($A$2&amp;1), ROW($A31:A31)-3)</f>
        <v>46109</v>
      </c>
      <c r="B31" s="49" t="str">
        <f t="shared" si="0"/>
        <v>sob</v>
      </c>
      <c r="C31" s="48"/>
      <c r="D31" s="48"/>
      <c r="E31" s="44" t="str">
        <f t="shared" si="1"/>
        <v/>
      </c>
      <c r="F31" s="45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  <c r="I31" s="24"/>
    </row>
    <row r="32" spans="1:9" x14ac:dyDescent="0.3">
      <c r="A32" s="38" cm="1">
        <f t="array" ref="A32">DATE($A$3, MONTH($A$2&amp;1), ROW($A32:A32)-3)</f>
        <v>46110</v>
      </c>
      <c r="B32" s="49" t="str">
        <f t="shared" si="0"/>
        <v>niedz</v>
      </c>
      <c r="C32" s="48"/>
      <c r="D32" s="48"/>
      <c r="E32" s="44" t="str">
        <f t="shared" si="1"/>
        <v/>
      </c>
      <c r="F32" s="45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  <c r="I32" s="24"/>
    </row>
    <row r="33" spans="1:12" x14ac:dyDescent="0.3">
      <c r="A33" s="38" cm="1">
        <f t="array" ref="A33">DATE($A$3, MONTH($A$2&amp;1), ROW($A33:A33)-3)</f>
        <v>46111</v>
      </c>
      <c r="B33" s="70" t="str">
        <f t="shared" si="0"/>
        <v>pon</v>
      </c>
      <c r="C33" s="65"/>
      <c r="D33" s="66"/>
      <c r="E33" s="65" t="str">
        <f t="shared" si="1"/>
        <v/>
      </c>
      <c r="F33" s="6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  <c r="I33" s="24"/>
    </row>
    <row r="34" spans="1:12" x14ac:dyDescent="0.3">
      <c r="A34" s="38" cm="1">
        <f t="array" ref="A34">DATE($A$3, MONTH($A$2&amp;1), ROW($A34:A34)-3)</f>
        <v>46112</v>
      </c>
      <c r="B34" s="70" t="str">
        <f t="shared" si="0"/>
        <v>wt</v>
      </c>
      <c r="C34" s="65"/>
      <c r="D34" s="66"/>
      <c r="E34" s="65" t="str">
        <f t="shared" si="1"/>
        <v/>
      </c>
      <c r="F34" s="67"/>
      <c r="G34" s="1" t="str">
        <f>IF('Styczeń 2026'!$B$51=1,IFERROR(IF(E34&lt;&gt;"",IF(AND(D34-C34&lt;1/3,B34&lt;&gt;"sob",B34&lt;&gt;"niedz"),"Niedogodziny","Nadgodziny"),""),""),"")</f>
        <v/>
      </c>
      <c r="H34" s="23" t="str">
        <f>IF('Styczeń 2026'!$B$51=1,IFERROR(IF(AND(E34&lt;&gt;"",OR(B34="sob",B34="niedz")),E34,IF(AND(E34&lt;&gt;"",1/3-E34&gt;0),1/3-E34,IF(AND(E34&lt;&gt;"",E34-1/3&gt;=0),E34-1/3,""))),""),"")</f>
        <v/>
      </c>
      <c r="I34" s="24"/>
    </row>
    <row r="35" spans="1:12" x14ac:dyDescent="0.3">
      <c r="A35" s="8" t="s">
        <v>3</v>
      </c>
      <c r="B35" s="8" t="s">
        <v>7</v>
      </c>
      <c r="C35" s="89">
        <f>SUM(E4:E34)</f>
        <v>0</v>
      </c>
      <c r="D35" s="89"/>
      <c r="E35" s="89"/>
      <c r="F35" s="39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3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12" x14ac:dyDescent="0.3">
      <c r="A36" s="9" t="str">
        <f>IF(OR(ROUND(C35,2)=ROUND(B42*'Styczeń 2026'!$B$51,2),C35&gt;B42*'Styczeń 2026'!$B$51),"DO ODBIORU:","DO ZROBIENIA:")</f>
        <v>DO ZROBIENIA:</v>
      </c>
      <c r="B36" s="10" t="s">
        <v>7</v>
      </c>
      <c r="C36" s="90">
        <f>IF(B42*'Styczeń 2026'!B51-C35&lt;0,C35-B42*'Styczeń 2026'!B51,B42*'Styczeń 2026'!B51-C35)</f>
        <v>7.333333333333333</v>
      </c>
      <c r="D36" s="91"/>
      <c r="E36" s="92"/>
      <c r="F36" s="93"/>
    </row>
    <row r="37" spans="1:12" x14ac:dyDescent="0.3">
      <c r="A37" s="11" t="s">
        <v>4</v>
      </c>
      <c r="B37" s="12" t="s">
        <v>7</v>
      </c>
      <c r="C37" s="94">
        <f>COUNTIF(F:F,"urlop")/3*'Styczeń 2026'!B51</f>
        <v>0</v>
      </c>
      <c r="D37" s="95"/>
      <c r="E37" s="96"/>
      <c r="F37" s="93"/>
    </row>
    <row r="38" spans="1:12" x14ac:dyDescent="0.3">
      <c r="A38" s="17" t="str">
        <f>IF(OR(C36-C37&lt;=0,A36="DO ODBIORU:"),"POZOST. DO ODBIORU","POZOST. DO ZROBIENIA")</f>
        <v>POZOST. DO ZROBIENIA</v>
      </c>
      <c r="B38" s="103" t="s">
        <v>7</v>
      </c>
      <c r="C38" s="97">
        <f>IF(A36="DO ZROBIENIA:",IF(C37-C36&gt;0,C37-C36,C36-C37),C36+C37)</f>
        <v>7.333333333333333</v>
      </c>
      <c r="D38" s="98"/>
      <c r="E38" s="99"/>
      <c r="F38" s="93"/>
    </row>
    <row r="39" spans="1:12" x14ac:dyDescent="0.3">
      <c r="A39" s="60" t="s">
        <v>5</v>
      </c>
      <c r="B39" s="104"/>
      <c r="C39" s="100"/>
      <c r="D39" s="101"/>
      <c r="E39" s="102"/>
      <c r="F39" s="93"/>
    </row>
    <row r="40" spans="1:12" x14ac:dyDescent="0.3">
      <c r="A40" s="13"/>
      <c r="B40" s="13"/>
      <c r="C40" s="13"/>
      <c r="D40" s="13"/>
      <c r="E40" s="13"/>
      <c r="F40" s="13"/>
    </row>
    <row r="41" spans="1:12" x14ac:dyDescent="0.3">
      <c r="A41" s="13"/>
      <c r="B41" s="13"/>
      <c r="C41" s="13"/>
      <c r="D41" s="13"/>
      <c r="E41" s="13"/>
      <c r="F41" s="13"/>
      <c r="L41" s="61"/>
    </row>
    <row r="42" spans="1:12" x14ac:dyDescent="0.3">
      <c r="A42" s="14" t="s">
        <v>6</v>
      </c>
      <c r="B42" s="53">
        <v>7.333333333333333</v>
      </c>
      <c r="C42" s="13"/>
      <c r="D42" s="13"/>
      <c r="E42" s="13"/>
      <c r="F42" s="13"/>
    </row>
    <row r="43" spans="1:12" ht="15" thickBot="1" x14ac:dyDescent="0.35">
      <c r="A43" s="13"/>
      <c r="B43" s="18"/>
      <c r="C43" s="13"/>
      <c r="D43" s="13"/>
      <c r="E43" s="13"/>
      <c r="F43" s="13"/>
    </row>
    <row r="44" spans="1:12" ht="15" thickBot="1" x14ac:dyDescent="0.35">
      <c r="A44" s="16" t="str">
        <f>IF('Styczeń 2026'!B51=1,
IF(AND('Luty 2026'!A44="Nadgodziny "&amp;A3,A38="POZOST. DO ODBIORU"),"Nadgodziny "&amp;A3,
IF(AND('Luty 2026'!A44="Niedogodziny "&amp;A3,A38="POZOST. DO ZROBIENIA"),"Niedogodziny "&amp;A3,
IF(AND('Luty 2026'!A44="Nadgodziny "&amp;A3,A38="POZOST. DO ZROBIENIA"),
IF('Luty 2026'!B44-C38&lt;0,"Niedogodziny "&amp;A3,"Nadgodziny "&amp;A3),
IF(AND('Luty 2026'!A44="Niedogodziny "&amp;A3,A38="POZOST. DO ODBIORU"),
IF(C38-'Luty 2026'!B44&lt;0,"Niedogodziny "&amp;A3,"Nadgodziny "&amp;A3),"błąd")))),
"Nadgodziny "&amp;A3)</f>
        <v>Niedogodziny 2026</v>
      </c>
      <c r="B44" s="55">
        <f>IF('Styczeń 2026'!B51=1,
IFERROR(
IF(AND('Luty 2026'!A44="Nadgodziny "&amp;A3,A38="POZOST. DO ODBIORU"),'Luty 2026'!B44+C38,
IF(AND('Luty 2026'!A44="Niedogodziny "&amp;A3,A38="POZOST. DO ZROBIENIA"),'Luty 2026'!B44+C38,
IF(AND('Luty 2026'!A44="Nadgodziny "&amp;A3,A38="POZOST. DO ZROBIENIA",'Luty 2026'!B44-C38&lt;=0),C38-'Luty 2026'!B44,
IF(AND('Luty 2026'!A44="Nadgodziny "&amp;A3,A38="POZOST. DO ZROBIENIA",C38-'Luty 2026'!B44&lt;=0),'Luty 2026'!B44-C38,
IF(AND('Luty 2026'!A44="Niedogodziny "&amp;A3,A38="POZOST. DO ODBIORU",'Luty 2026'!B44-C38&lt;=0),C38-'Luty 2026'!B44,
IF(AND('Luty 2026'!A44="Niedogodziny "&amp;A3,A38="POZOST. DO ODBIORU",C38-'Luty 2026'!B44&lt;=0),'Luty 2026'!B44-C38,"błąd")))))),
"błąd"),"-")</f>
        <v>21.333333333333332</v>
      </c>
      <c r="C44" s="13"/>
      <c r="D44" s="22"/>
      <c r="E44" s="13"/>
      <c r="F44" s="13"/>
    </row>
    <row r="45" spans="1:12" x14ac:dyDescent="0.3">
      <c r="A45" s="19"/>
      <c r="B45" s="13"/>
      <c r="C45" s="13"/>
      <c r="D45" s="13"/>
      <c r="E45" s="13"/>
      <c r="F45" s="13"/>
    </row>
  </sheetData>
  <mergeCells count="8">
    <mergeCell ref="A1:B1"/>
    <mergeCell ref="C1:F2"/>
    <mergeCell ref="C35:E35"/>
    <mergeCell ref="C36:E36"/>
    <mergeCell ref="F36:F39"/>
    <mergeCell ref="C37:E37"/>
    <mergeCell ref="C38:E39"/>
    <mergeCell ref="B38:B39"/>
  </mergeCells>
  <conditionalFormatting sqref="B44">
    <cfRule type="expression" dxfId="59" priority="5">
      <formula>$A$44="nadgodziny " &amp; $A$3</formula>
    </cfRule>
    <cfRule type="expression" dxfId="58" priority="6">
      <formula>$A$44="niedogodziny " &amp; $A$3</formula>
    </cfRule>
  </conditionalFormatting>
  <conditionalFormatting sqref="C38">
    <cfRule type="expression" dxfId="57" priority="3">
      <formula>$A$38="POZOST. DO ODBIORU"</formula>
    </cfRule>
    <cfRule type="expression" dxfId="56" priority="4">
      <formula>$A$38="POZOST. DO ZROBIENIA"</formula>
    </cfRule>
  </conditionalFormatting>
  <conditionalFormatting sqref="H35">
    <cfRule type="expression" dxfId="55" priority="1">
      <formula>$G$35="Nadgodziny (obecny m-c)"</formula>
    </cfRule>
    <cfRule type="expression" dxfId="54" priority="2">
      <formula>$G$35="Niedogodziny (obecny m-c)"</formula>
    </cfRule>
  </conditionalFormatting>
  <dataValidations disablePrompts="1" count="1">
    <dataValidation type="list" allowBlank="1" showInputMessage="1" showErrorMessage="1" sqref="F4:F34" xr:uid="{00000000-0002-0000-0200-000000000000}">
      <formula1>"biuro,zdalnie,urlop"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J44"/>
  <sheetViews>
    <sheetView workbookViewId="0">
      <selection sqref="A1:B1"/>
    </sheetView>
  </sheetViews>
  <sheetFormatPr defaultRowHeight="14.4" x14ac:dyDescent="0.3"/>
  <cols>
    <col min="1" max="1" width="18.77734375" customWidth="1"/>
    <col min="2" max="2" width="13.33203125" customWidth="1"/>
    <col min="6" max="6" width="20.77734375" customWidth="1"/>
    <col min="7" max="7" width="25.77734375" customWidth="1"/>
    <col min="8" max="8" width="8.77734375" customWidth="1"/>
    <col min="15" max="15" width="9.5546875" bestFit="1" customWidth="1"/>
  </cols>
  <sheetData>
    <row r="1" spans="1:8" ht="15" customHeight="1" x14ac:dyDescent="0.3">
      <c r="A1" s="81" t="s">
        <v>24</v>
      </c>
      <c r="B1" s="82"/>
      <c r="C1" s="117" t="s">
        <v>14</v>
      </c>
      <c r="D1" s="84"/>
      <c r="E1" s="84"/>
      <c r="F1" s="85"/>
    </row>
    <row r="2" spans="1:8" x14ac:dyDescent="0.3">
      <c r="A2" s="6" t="s">
        <v>11</v>
      </c>
      <c r="B2" s="6" t="s">
        <v>7</v>
      </c>
      <c r="C2" s="86"/>
      <c r="D2" s="87"/>
      <c r="E2" s="87"/>
      <c r="F2" s="88"/>
    </row>
    <row r="3" spans="1:8" ht="27.6" x14ac:dyDescent="0.3">
      <c r="A3" s="6">
        <v>2026</v>
      </c>
      <c r="B3" s="21" t="s">
        <v>7</v>
      </c>
      <c r="C3" s="7" t="s">
        <v>0</v>
      </c>
      <c r="D3" s="7" t="s">
        <v>1</v>
      </c>
      <c r="E3" s="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46113</v>
      </c>
      <c r="B4" s="70" t="str">
        <f t="shared" ref="B4:B33" si="0">TEXT(A4,"ddd")</f>
        <v>śr</v>
      </c>
      <c r="C4" s="65"/>
      <c r="D4" s="66"/>
      <c r="E4" s="65" t="str">
        <f>IFERROR(IF(AND(C4&lt;&gt;"",D4&lt;&gt;"",D4-C4&gt;=0),D4-C4,""),"")</f>
        <v/>
      </c>
      <c r="F4" s="68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46114</v>
      </c>
      <c r="B5" s="70" t="str">
        <f t="shared" si="0"/>
        <v>czw</v>
      </c>
      <c r="C5" s="65"/>
      <c r="D5" s="66"/>
      <c r="E5" s="65" t="str">
        <f t="shared" ref="E5:E33" si="1">IFERROR(IF(AND(C5&lt;&gt;"",D5&lt;&gt;"",D5-C5&gt;=0),D5-C5,""),"")</f>
        <v/>
      </c>
      <c r="F5" s="67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46115</v>
      </c>
      <c r="B6" s="70" t="str">
        <f t="shared" si="0"/>
        <v>pt</v>
      </c>
      <c r="C6" s="65"/>
      <c r="D6" s="66"/>
      <c r="E6" s="65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46116</v>
      </c>
      <c r="B7" s="49" t="str">
        <f t="shared" si="0"/>
        <v>sob</v>
      </c>
      <c r="C7" s="48"/>
      <c r="D7" s="48"/>
      <c r="E7" s="44" t="str">
        <f t="shared" si="1"/>
        <v/>
      </c>
      <c r="F7" s="45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46117</v>
      </c>
      <c r="B8" s="49" t="str">
        <f t="shared" si="0"/>
        <v>niedz</v>
      </c>
      <c r="C8" s="44"/>
      <c r="D8" s="44"/>
      <c r="E8" s="44" t="str">
        <f t="shared" si="1"/>
        <v/>
      </c>
      <c r="F8" s="45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46118</v>
      </c>
      <c r="B9" s="70" t="str">
        <f t="shared" si="0"/>
        <v>pon</v>
      </c>
      <c r="C9" s="65"/>
      <c r="D9" s="66"/>
      <c r="E9" s="65" t="str">
        <f t="shared" si="1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46119</v>
      </c>
      <c r="B10" s="70" t="str">
        <f t="shared" si="0"/>
        <v>wt</v>
      </c>
      <c r="C10" s="65"/>
      <c r="D10" s="66"/>
      <c r="E10" s="65" t="str">
        <f t="shared" si="1"/>
        <v/>
      </c>
      <c r="F10" s="67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46120</v>
      </c>
      <c r="B11" s="70" t="str">
        <f t="shared" si="0"/>
        <v>śr</v>
      </c>
      <c r="C11" s="65"/>
      <c r="D11" s="66"/>
      <c r="E11" s="65" t="str">
        <f t="shared" si="1"/>
        <v/>
      </c>
      <c r="F11" s="67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46121</v>
      </c>
      <c r="B12" s="70" t="str">
        <f t="shared" si="0"/>
        <v>czw</v>
      </c>
      <c r="C12" s="65"/>
      <c r="D12" s="66"/>
      <c r="E12" s="65" t="str">
        <f t="shared" si="1"/>
        <v/>
      </c>
      <c r="F12" s="67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46122</v>
      </c>
      <c r="B13" s="70" t="str">
        <f t="shared" si="0"/>
        <v>pt</v>
      </c>
      <c r="C13" s="65"/>
      <c r="D13" s="66"/>
      <c r="E13" s="65" t="str">
        <f t="shared" si="1"/>
        <v/>
      </c>
      <c r="F13" s="67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46123</v>
      </c>
      <c r="B14" s="49" t="str">
        <f t="shared" si="0"/>
        <v>sob</v>
      </c>
      <c r="C14" s="48"/>
      <c r="D14" s="48"/>
      <c r="E14" s="44" t="str">
        <f t="shared" si="1"/>
        <v/>
      </c>
      <c r="F14" s="45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46124</v>
      </c>
      <c r="B15" s="49" t="str">
        <f t="shared" si="0"/>
        <v>niedz</v>
      </c>
      <c r="C15" s="48"/>
      <c r="D15" s="48"/>
      <c r="E15" s="44" t="str">
        <f t="shared" si="1"/>
        <v/>
      </c>
      <c r="F15" s="45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46125</v>
      </c>
      <c r="B16" s="70" t="str">
        <f t="shared" si="0"/>
        <v>pon</v>
      </c>
      <c r="C16" s="65"/>
      <c r="D16" s="66"/>
      <c r="E16" s="65" t="str">
        <f t="shared" si="1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46126</v>
      </c>
      <c r="B17" s="70" t="str">
        <f t="shared" si="0"/>
        <v>wt</v>
      </c>
      <c r="C17" s="65"/>
      <c r="D17" s="66"/>
      <c r="E17" s="65" t="str">
        <f t="shared" si="1"/>
        <v/>
      </c>
      <c r="F17" s="67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46127</v>
      </c>
      <c r="B18" s="70" t="str">
        <f t="shared" si="0"/>
        <v>śr</v>
      </c>
      <c r="C18" s="65"/>
      <c r="D18" s="66"/>
      <c r="E18" s="65" t="str">
        <f t="shared" si="1"/>
        <v/>
      </c>
      <c r="F18" s="67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46128</v>
      </c>
      <c r="B19" s="70" t="str">
        <f t="shared" si="0"/>
        <v>czw</v>
      </c>
      <c r="C19" s="65"/>
      <c r="D19" s="66"/>
      <c r="E19" s="65" t="str">
        <f t="shared" si="1"/>
        <v/>
      </c>
      <c r="F19" s="67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46129</v>
      </c>
      <c r="B20" s="70" t="str">
        <f t="shared" si="0"/>
        <v>pt</v>
      </c>
      <c r="C20" s="65"/>
      <c r="D20" s="66"/>
      <c r="E20" s="65" t="str">
        <f t="shared" si="1"/>
        <v/>
      </c>
      <c r="F20" s="67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46130</v>
      </c>
      <c r="B21" s="49" t="str">
        <f t="shared" si="0"/>
        <v>sob</v>
      </c>
      <c r="C21" s="48"/>
      <c r="D21" s="48"/>
      <c r="E21" s="44" t="str">
        <f t="shared" si="1"/>
        <v/>
      </c>
      <c r="F21" s="45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46131</v>
      </c>
      <c r="B22" s="49" t="str">
        <f t="shared" si="0"/>
        <v>niedz</v>
      </c>
      <c r="C22" s="48"/>
      <c r="D22" s="48"/>
      <c r="E22" s="44" t="str">
        <f t="shared" si="1"/>
        <v/>
      </c>
      <c r="F22" s="45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46132</v>
      </c>
      <c r="B23" s="70" t="str">
        <f t="shared" si="0"/>
        <v>pon</v>
      </c>
      <c r="C23" s="65"/>
      <c r="D23" s="66"/>
      <c r="E23" s="65" t="str">
        <f t="shared" si="1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46133</v>
      </c>
      <c r="B24" s="70" t="str">
        <f t="shared" si="0"/>
        <v>wt</v>
      </c>
      <c r="C24" s="65"/>
      <c r="D24" s="66"/>
      <c r="E24" s="65" t="str">
        <f t="shared" si="1"/>
        <v/>
      </c>
      <c r="F24" s="67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46134</v>
      </c>
      <c r="B25" s="70" t="str">
        <f t="shared" si="0"/>
        <v>śr</v>
      </c>
      <c r="C25" s="65"/>
      <c r="D25" s="66"/>
      <c r="E25" s="65" t="str">
        <f t="shared" si="1"/>
        <v/>
      </c>
      <c r="F25" s="67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46135</v>
      </c>
      <c r="B26" s="70" t="str">
        <f t="shared" si="0"/>
        <v>czw</v>
      </c>
      <c r="C26" s="65"/>
      <c r="D26" s="66"/>
      <c r="E26" s="65" t="str">
        <f t="shared" si="1"/>
        <v/>
      </c>
      <c r="F26" s="67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46136</v>
      </c>
      <c r="B27" s="70" t="str">
        <f t="shared" si="0"/>
        <v>pt</v>
      </c>
      <c r="C27" s="65"/>
      <c r="D27" s="66"/>
      <c r="E27" s="65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46137</v>
      </c>
      <c r="B28" s="49" t="str">
        <f t="shared" si="0"/>
        <v>sob</v>
      </c>
      <c r="C28" s="48"/>
      <c r="D28" s="48"/>
      <c r="E28" s="44" t="str">
        <f t="shared" si="1"/>
        <v/>
      </c>
      <c r="F28" s="45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46138</v>
      </c>
      <c r="B29" s="49" t="str">
        <f t="shared" si="0"/>
        <v>niedz</v>
      </c>
      <c r="C29" s="44"/>
      <c r="D29" s="44"/>
      <c r="E29" s="44" t="str">
        <f t="shared" si="1"/>
        <v/>
      </c>
      <c r="F29" s="45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46139</v>
      </c>
      <c r="B30" s="70" t="str">
        <f t="shared" si="0"/>
        <v>pon</v>
      </c>
      <c r="C30" s="65"/>
      <c r="D30" s="66"/>
      <c r="E30" s="65" t="str">
        <f t="shared" si="1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46140</v>
      </c>
      <c r="B31" s="70" t="str">
        <f t="shared" si="0"/>
        <v>wt</v>
      </c>
      <c r="C31" s="65"/>
      <c r="D31" s="66"/>
      <c r="E31" s="65" t="str">
        <f t="shared" si="1"/>
        <v/>
      </c>
      <c r="F31" s="67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46141</v>
      </c>
      <c r="B32" s="70" t="str">
        <f t="shared" si="0"/>
        <v>śr</v>
      </c>
      <c r="C32" s="65"/>
      <c r="D32" s="66"/>
      <c r="E32" s="65" t="str">
        <f t="shared" si="1"/>
        <v/>
      </c>
      <c r="F32" s="6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10" x14ac:dyDescent="0.3">
      <c r="A33" s="38" cm="1">
        <f t="array" ref="A33">DATE($A$3, MONTH($A$2&amp;1), ROW($A33:A33)-3)</f>
        <v>46142</v>
      </c>
      <c r="B33" s="70" t="str">
        <f t="shared" si="0"/>
        <v>czw</v>
      </c>
      <c r="C33" s="65"/>
      <c r="D33" s="66"/>
      <c r="E33" s="65" t="str">
        <f t="shared" si="1"/>
        <v/>
      </c>
      <c r="F33" s="6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10" x14ac:dyDescent="0.3">
      <c r="A34" s="8" t="s">
        <v>3</v>
      </c>
      <c r="B34" s="8" t="s">
        <v>7</v>
      </c>
      <c r="C34" s="89">
        <f>SUM(E4:E33)</f>
        <v>0</v>
      </c>
      <c r="D34" s="89"/>
      <c r="E34" s="89"/>
      <c r="F34" s="39" t="s">
        <v>7</v>
      </c>
      <c r="G34" s="4" t="str">
        <f>IF(SUMIF(G4:G33,"Nadgodziny",H4:H33) - SUMIF(G4:G33,"Niedogodziny",H4:H33) &gt;= 0,"Nadgodziny (obecny m-c)", "Niedogodziny (obecny m-c)")</f>
        <v>Nadgodziny (obecny m-c)</v>
      </c>
      <c r="H34" s="53">
        <f>IF(SUMIF(G4:G33,"Nadgodziny",H4:H33) - SUMIF(G4:G33,"Niedogodziny",H4:H33) &gt; 0,SUMIF(G4:G33,"Nadgodziny",H4:H33) - SUMIF(G4:G33,"Niedogodziny",H4:H33), SUMIF(G4:G33,"Niedogodziny",H4:H33) - SUMIF(G4:G33,"Nadgodziny",H4:H33))</f>
        <v>0</v>
      </c>
    </row>
    <row r="35" spans="1:10" x14ac:dyDescent="0.3">
      <c r="A35" s="9" t="str">
        <f>IF(OR(ROUND(C34,2)=ROUND(B42*'Styczeń 2026'!$B$51,2),C34&gt;B42*'Styczeń 2026'!$B$51),"DO ODBIORU:","DO ZROBIENIA:")</f>
        <v>DO ZROBIENIA:</v>
      </c>
      <c r="B35" s="10" t="s">
        <v>7</v>
      </c>
      <c r="C35" s="90">
        <f>IF(B42*'Styczeń 2026'!B51-C34&lt;0,C34-B42*'Styczeń 2026'!B51,B42*'Styczeń 2026'!B51-C34)</f>
        <v>7.333333333333333</v>
      </c>
      <c r="D35" s="91"/>
      <c r="E35" s="92"/>
      <c r="F35" s="93"/>
    </row>
    <row r="36" spans="1:10" x14ac:dyDescent="0.3">
      <c r="A36" s="11" t="s">
        <v>4</v>
      </c>
      <c r="B36" s="12" t="s">
        <v>7</v>
      </c>
      <c r="C36" s="94">
        <f>COUNTIF(F:F,"urlop")/3*'Styczeń 2026'!B51</f>
        <v>0</v>
      </c>
      <c r="D36" s="95"/>
      <c r="E36" s="96"/>
      <c r="F36" s="93"/>
    </row>
    <row r="37" spans="1:10" x14ac:dyDescent="0.3">
      <c r="A37" s="17" t="str">
        <f>IF(OR(C35-C36&lt;=0,A35="DO ODBIORU:"),"POZOST. DO ODBIORU","POZOST. DO ZROBIENIA")</f>
        <v>POZOST. DO ZROBIENIA</v>
      </c>
      <c r="B37" s="103" t="s">
        <v>7</v>
      </c>
      <c r="C37" s="97">
        <f>IF(A35="DO ZROBIENIA:",IF(C36-C35&gt;0,C36-C35,C35-C36),C35+C36)</f>
        <v>7.333333333333333</v>
      </c>
      <c r="D37" s="98"/>
      <c r="E37" s="99"/>
      <c r="F37" s="93"/>
    </row>
    <row r="38" spans="1:10" x14ac:dyDescent="0.3">
      <c r="A38" s="60" t="s">
        <v>5</v>
      </c>
      <c r="B38" s="104"/>
      <c r="C38" s="100"/>
      <c r="D38" s="101"/>
      <c r="E38" s="102"/>
      <c r="F38" s="93"/>
    </row>
    <row r="39" spans="1:10" x14ac:dyDescent="0.3">
      <c r="A39" s="13"/>
      <c r="B39" s="13"/>
      <c r="C39" s="13"/>
      <c r="D39" s="13"/>
      <c r="E39" s="13"/>
      <c r="F39" s="13"/>
    </row>
    <row r="40" spans="1:10" x14ac:dyDescent="0.3">
      <c r="A40" s="13"/>
      <c r="B40" s="13"/>
      <c r="C40" s="13"/>
      <c r="D40" s="13"/>
      <c r="E40" s="13"/>
      <c r="F40" s="13"/>
    </row>
    <row r="41" spans="1:10" x14ac:dyDescent="0.3">
      <c r="C41" s="13"/>
      <c r="D41" s="13"/>
      <c r="E41" s="13"/>
      <c r="F41" s="13"/>
    </row>
    <row r="42" spans="1:10" x14ac:dyDescent="0.3">
      <c r="A42" s="14" t="s">
        <v>6</v>
      </c>
      <c r="B42" s="53">
        <v>7.333333333333333</v>
      </c>
      <c r="C42" s="13"/>
      <c r="D42" s="13"/>
      <c r="E42" s="13"/>
      <c r="F42" s="13"/>
      <c r="J42" s="20"/>
    </row>
    <row r="43" spans="1:10" ht="15" thickBot="1" x14ac:dyDescent="0.35">
      <c r="A43" s="13"/>
      <c r="B43" s="18"/>
      <c r="C43" s="13"/>
      <c r="D43" s="13"/>
      <c r="E43" s="13"/>
      <c r="F43" s="13"/>
    </row>
    <row r="44" spans="1:10" ht="15" thickBot="1" x14ac:dyDescent="0.35">
      <c r="A44" s="16" t="str">
        <f>IF('Styczeń 2026'!B51=1,
IF(AND('Marzec 2026'!A44="Nadgodziny "&amp;A3,A37="POZOST. DO ODBIORU"),"Nadgodziny "&amp;A3,
IF(AND('Marzec 2026'!A44="Niedogodziny "&amp;A3,A37="POZOST. DO ZROBIENIA"),"Niedogodziny "&amp;A3,
IF(AND('Marzec 2026'!A44="Nadgodziny "&amp;A3,A37="POZOST. DO ZROBIENIA"),
IF('Marzec 2026'!B44-C37&lt;0,"Niedogodziny "&amp;A3,"Nadgodziny "&amp;A3),
IF(AND('Marzec 2026'!A44="Niedogodziny "&amp;A3,A37="POZOST. DO ODBIORU"),
IF(C37-'Marzec 2026'!B44&lt;0,"Niedogodziny "&amp;A3,"Nadgodziny "&amp;A3),"błąd")))),
"Nadgodziny "&amp;A3)</f>
        <v>Niedogodziny 2026</v>
      </c>
      <c r="B44" s="55">
        <f>IF('Styczeń 2026'!B51=1,
IFERROR(
IF(AND('Marzec 2026'!A44="Nadgodziny "&amp;A3,A37="POZOST. DO ODBIORU"),'Marzec 2026'!B44+C37,
IF(AND('Marzec 2026'!A44="Niedogodziny "&amp;A3,A37="POZOST. DO ZROBIENIA"),'Marzec 2026'!B44+C37,
IF(AND('Marzec 2026'!A44="Nadgodziny "&amp;A3,A37="POZOST. DO ZROBIENIA",'Marzec 2026'!B44-C37&lt;=0),C37-'Marzec 2026'!B44,
IF(AND('Marzec 2026'!A44="Nadgodziny "&amp;A3,A37="POZOST. DO ZROBIENIA",C37-'Marzec 2026'!B44&lt;=0),'Marzec 2026'!B44-C37,
IF(AND('Marzec 2026'!A44="Niedogodziny "&amp;A3,A37="POZOST. DO ODBIORU",'Marzec 2026'!B44-C37&lt;=0),C37-'Marzec 2026'!B44,
IF(AND('Marzec 2026'!A44="Niedogodziny "&amp;A3,A37="POZOST. DO ODBIORU",C37-'Marzec 2026'!B44&lt;=0),'Marzec 2026'!B44-C37,"błąd")))))),
"błąd"),"-")</f>
        <v>28.666666666666664</v>
      </c>
      <c r="C44" s="13"/>
      <c r="D44" s="13"/>
      <c r="E44" s="13"/>
      <c r="F44" s="13"/>
    </row>
  </sheetData>
  <mergeCells count="8">
    <mergeCell ref="A1:B1"/>
    <mergeCell ref="C1:F2"/>
    <mergeCell ref="C34:E34"/>
    <mergeCell ref="C35:E35"/>
    <mergeCell ref="F35:F38"/>
    <mergeCell ref="C36:E36"/>
    <mergeCell ref="C37:E38"/>
    <mergeCell ref="B37:B38"/>
  </mergeCells>
  <conditionalFormatting sqref="B44">
    <cfRule type="expression" dxfId="53" priority="5">
      <formula>$A$44="nadgodziny " &amp; $A$3</formula>
    </cfRule>
    <cfRule type="expression" dxfId="52" priority="6">
      <formula>$A$44="niedogodziny " &amp; $A$3</formula>
    </cfRule>
  </conditionalFormatting>
  <conditionalFormatting sqref="C37">
    <cfRule type="expression" dxfId="51" priority="3">
      <formula>$A$37="POZOST. DO ODBIORU"</formula>
    </cfRule>
    <cfRule type="expression" dxfId="50" priority="4">
      <formula>$A$37="POZOST. DO ZROBIENIA"</formula>
    </cfRule>
  </conditionalFormatting>
  <conditionalFormatting sqref="H34">
    <cfRule type="expression" dxfId="49" priority="1">
      <formula>$G$34="Nadgodziny (obecny m-c)"</formula>
    </cfRule>
    <cfRule type="expression" dxfId="48" priority="2">
      <formula>$G$34="Niedogodziny (obecny m-c)"</formula>
    </cfRule>
  </conditionalFormatting>
  <dataValidations disablePrompts="1" count="1">
    <dataValidation type="list" allowBlank="1" showInputMessage="1" showErrorMessage="1" sqref="F4:F33" xr:uid="{00000000-0002-0000-0300-000000000000}">
      <formula1>"biuro,zdalnie,urlop"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H45"/>
  <sheetViews>
    <sheetView workbookViewId="0">
      <selection sqref="A1:B1"/>
    </sheetView>
  </sheetViews>
  <sheetFormatPr defaultRowHeight="14.4" x14ac:dyDescent="0.3"/>
  <cols>
    <col min="1" max="1" width="18.77734375" customWidth="1"/>
    <col min="2" max="2" width="13.33203125" customWidth="1"/>
    <col min="6" max="6" width="20.77734375" customWidth="1"/>
    <col min="7" max="7" width="25.77734375" customWidth="1"/>
    <col min="8" max="8" width="8.77734375" customWidth="1"/>
  </cols>
  <sheetData>
    <row r="1" spans="1:8" ht="15" customHeight="1" x14ac:dyDescent="0.3">
      <c r="A1" s="81" t="s">
        <v>24</v>
      </c>
      <c r="B1" s="82"/>
      <c r="C1" s="117" t="s">
        <v>14</v>
      </c>
      <c r="D1" s="84"/>
      <c r="E1" s="84"/>
      <c r="F1" s="85"/>
    </row>
    <row r="2" spans="1:8" x14ac:dyDescent="0.3">
      <c r="A2" s="6" t="s">
        <v>12</v>
      </c>
      <c r="B2" s="6" t="s">
        <v>7</v>
      </c>
      <c r="C2" s="86"/>
      <c r="D2" s="87"/>
      <c r="E2" s="87"/>
      <c r="F2" s="88"/>
    </row>
    <row r="3" spans="1:8" ht="27.6" x14ac:dyDescent="0.3">
      <c r="A3" s="6">
        <v>2026</v>
      </c>
      <c r="B3" s="21" t="s">
        <v>7</v>
      </c>
      <c r="C3" s="7" t="s">
        <v>0</v>
      </c>
      <c r="D3" s="7" t="s">
        <v>1</v>
      </c>
      <c r="E3" s="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46143</v>
      </c>
      <c r="B4" s="70" t="str">
        <f t="shared" ref="B4:B34" si="0">TEXT(A4,"ddd")</f>
        <v>pt</v>
      </c>
      <c r="C4" s="65"/>
      <c r="D4" s="65"/>
      <c r="E4" s="66" t="str">
        <f>IFERROR(IF(AND(C4&lt;&gt;"",D4&lt;&gt;"",D4-C4&gt;=0),D4-C4,""),"")</f>
        <v/>
      </c>
      <c r="F4" s="68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46144</v>
      </c>
      <c r="B5" s="49" t="str">
        <f t="shared" si="0"/>
        <v>sob</v>
      </c>
      <c r="C5" s="48"/>
      <c r="D5" s="48"/>
      <c r="E5" s="44" t="str">
        <f t="shared" ref="E5" si="1">IFERROR(IF(AND(C5&lt;&gt;"",D5&lt;&gt;"",D5-C5&gt;=0),D5-C5,""),"")</f>
        <v/>
      </c>
      <c r="F5" s="47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46145</v>
      </c>
      <c r="B6" s="49" t="str">
        <f t="shared" si="0"/>
        <v>niedz</v>
      </c>
      <c r="C6" s="48"/>
      <c r="D6" s="48"/>
      <c r="E6" s="50" t="str">
        <f t="shared" ref="E6:E34" si="2">IFERROR(IF(AND(C6&lt;&gt;"",D6&lt;&gt;"",D6-C6&gt;=0),D6-C6,""),"")</f>
        <v/>
      </c>
      <c r="F6" s="4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46146</v>
      </c>
      <c r="B7" s="70" t="str">
        <f t="shared" si="0"/>
        <v>pon</v>
      </c>
      <c r="C7" s="71"/>
      <c r="D7" s="71"/>
      <c r="E7" s="66" t="str">
        <f t="shared" si="2"/>
        <v/>
      </c>
      <c r="F7" s="67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46147</v>
      </c>
      <c r="B8" s="70" t="str">
        <f t="shared" si="0"/>
        <v>wt</v>
      </c>
      <c r="C8" s="71"/>
      <c r="D8" s="71"/>
      <c r="E8" s="66" t="str">
        <f t="shared" si="2"/>
        <v/>
      </c>
      <c r="F8" s="67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46148</v>
      </c>
      <c r="B9" s="70" t="str">
        <f t="shared" si="0"/>
        <v>śr</v>
      </c>
      <c r="C9" s="71"/>
      <c r="D9" s="71"/>
      <c r="E9" s="66" t="str">
        <f t="shared" si="2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46149</v>
      </c>
      <c r="B10" s="70" t="str">
        <f t="shared" si="0"/>
        <v>czw</v>
      </c>
      <c r="C10" s="71"/>
      <c r="D10" s="71"/>
      <c r="E10" s="66" t="str">
        <f t="shared" si="2"/>
        <v/>
      </c>
      <c r="F10" s="67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46150</v>
      </c>
      <c r="B11" s="70" t="str">
        <f t="shared" si="0"/>
        <v>pt</v>
      </c>
      <c r="C11" s="71"/>
      <c r="D11" s="71"/>
      <c r="E11" s="66" t="str">
        <f t="shared" si="2"/>
        <v/>
      </c>
      <c r="F11" s="67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46151</v>
      </c>
      <c r="B12" s="49" t="str">
        <f t="shared" si="0"/>
        <v>sob</v>
      </c>
      <c r="C12" s="48"/>
      <c r="D12" s="48"/>
      <c r="E12" s="50" t="str">
        <f t="shared" si="2"/>
        <v/>
      </c>
      <c r="F12" s="45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46152</v>
      </c>
      <c r="B13" s="49" t="str">
        <f t="shared" si="0"/>
        <v>niedz</v>
      </c>
      <c r="C13" s="44"/>
      <c r="D13" s="44"/>
      <c r="E13" s="50" t="str">
        <f t="shared" si="2"/>
        <v/>
      </c>
      <c r="F13" s="45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46153</v>
      </c>
      <c r="B14" s="70" t="str">
        <f t="shared" si="0"/>
        <v>pon</v>
      </c>
      <c r="C14" s="71"/>
      <c r="D14" s="71"/>
      <c r="E14" s="66" t="str">
        <f t="shared" si="2"/>
        <v/>
      </c>
      <c r="F14" s="67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46154</v>
      </c>
      <c r="B15" s="70" t="str">
        <f t="shared" si="0"/>
        <v>wt</v>
      </c>
      <c r="C15" s="71"/>
      <c r="D15" s="71"/>
      <c r="E15" s="66" t="str">
        <f t="shared" si="2"/>
        <v/>
      </c>
      <c r="F15" s="67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46155</v>
      </c>
      <c r="B16" s="70" t="str">
        <f t="shared" si="0"/>
        <v>śr</v>
      </c>
      <c r="C16" s="71"/>
      <c r="D16" s="71"/>
      <c r="E16" s="66" t="str">
        <f t="shared" si="2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46156</v>
      </c>
      <c r="B17" s="70" t="str">
        <f t="shared" si="0"/>
        <v>czw</v>
      </c>
      <c r="C17" s="71"/>
      <c r="D17" s="71"/>
      <c r="E17" s="66" t="str">
        <f t="shared" si="2"/>
        <v/>
      </c>
      <c r="F17" s="67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46157</v>
      </c>
      <c r="B18" s="70" t="str">
        <f t="shared" si="0"/>
        <v>pt</v>
      </c>
      <c r="C18" s="71"/>
      <c r="D18" s="71"/>
      <c r="E18" s="66" t="str">
        <f t="shared" si="2"/>
        <v/>
      </c>
      <c r="F18" s="67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46158</v>
      </c>
      <c r="B19" s="49" t="str">
        <f t="shared" si="0"/>
        <v>sob</v>
      </c>
      <c r="C19" s="48"/>
      <c r="D19" s="48"/>
      <c r="E19" s="50" t="str">
        <f t="shared" si="2"/>
        <v/>
      </c>
      <c r="F19" s="45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46159</v>
      </c>
      <c r="B20" s="49" t="str">
        <f t="shared" si="0"/>
        <v>niedz</v>
      </c>
      <c r="C20" s="44"/>
      <c r="D20" s="44"/>
      <c r="E20" s="50" t="str">
        <f t="shared" si="2"/>
        <v/>
      </c>
      <c r="F20" s="45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46160</v>
      </c>
      <c r="B21" s="70" t="str">
        <f t="shared" si="0"/>
        <v>pon</v>
      </c>
      <c r="C21" s="71"/>
      <c r="D21" s="71"/>
      <c r="E21" s="66" t="str">
        <f t="shared" si="2"/>
        <v/>
      </c>
      <c r="F21" s="67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46161</v>
      </c>
      <c r="B22" s="70" t="str">
        <f t="shared" si="0"/>
        <v>wt</v>
      </c>
      <c r="C22" s="71"/>
      <c r="D22" s="71"/>
      <c r="E22" s="66" t="str">
        <f t="shared" si="2"/>
        <v/>
      </c>
      <c r="F22" s="67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46162</v>
      </c>
      <c r="B23" s="70" t="str">
        <f t="shared" si="0"/>
        <v>śr</v>
      </c>
      <c r="C23" s="71"/>
      <c r="D23" s="71"/>
      <c r="E23" s="66" t="str">
        <f t="shared" si="2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46163</v>
      </c>
      <c r="B24" s="70" t="str">
        <f t="shared" si="0"/>
        <v>czw</v>
      </c>
      <c r="C24" s="71"/>
      <c r="D24" s="71"/>
      <c r="E24" s="66" t="str">
        <f t="shared" si="2"/>
        <v/>
      </c>
      <c r="F24" s="67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46164</v>
      </c>
      <c r="B25" s="70" t="str">
        <f t="shared" si="0"/>
        <v>pt</v>
      </c>
      <c r="C25" s="71"/>
      <c r="D25" s="71"/>
      <c r="E25" s="66" t="str">
        <f t="shared" si="2"/>
        <v/>
      </c>
      <c r="F25" s="67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46165</v>
      </c>
      <c r="B26" s="49" t="str">
        <f t="shared" si="0"/>
        <v>sob</v>
      </c>
      <c r="C26" s="48"/>
      <c r="D26" s="48"/>
      <c r="E26" s="50" t="str">
        <f t="shared" si="2"/>
        <v/>
      </c>
      <c r="F26" s="45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46166</v>
      </c>
      <c r="B27" s="49" t="str">
        <f t="shared" si="0"/>
        <v>niedz</v>
      </c>
      <c r="C27" s="44"/>
      <c r="D27" s="44"/>
      <c r="E27" s="50" t="str">
        <f t="shared" si="2"/>
        <v/>
      </c>
      <c r="F27" s="45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46167</v>
      </c>
      <c r="B28" s="70" t="str">
        <f t="shared" si="0"/>
        <v>pon</v>
      </c>
      <c r="C28" s="71"/>
      <c r="D28" s="71"/>
      <c r="E28" s="66" t="str">
        <f t="shared" si="2"/>
        <v/>
      </c>
      <c r="F28" s="67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46168</v>
      </c>
      <c r="B29" s="70" t="str">
        <f t="shared" si="0"/>
        <v>wt</v>
      </c>
      <c r="C29" s="71"/>
      <c r="D29" s="71"/>
      <c r="E29" s="66" t="str">
        <f t="shared" si="2"/>
        <v/>
      </c>
      <c r="F29" s="67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46169</v>
      </c>
      <c r="B30" s="70" t="str">
        <f t="shared" si="0"/>
        <v>śr</v>
      </c>
      <c r="C30" s="65"/>
      <c r="D30" s="65"/>
      <c r="E30" s="66" t="str">
        <f t="shared" si="2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46170</v>
      </c>
      <c r="B31" s="70" t="str">
        <f t="shared" si="0"/>
        <v>czw</v>
      </c>
      <c r="C31" s="65"/>
      <c r="D31" s="65"/>
      <c r="E31" s="66" t="str">
        <f t="shared" si="2"/>
        <v/>
      </c>
      <c r="F31" s="67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46171</v>
      </c>
      <c r="B32" s="70" t="str">
        <f t="shared" si="0"/>
        <v>pt</v>
      </c>
      <c r="C32" s="65"/>
      <c r="D32" s="65"/>
      <c r="E32" s="66" t="str">
        <f t="shared" si="2"/>
        <v/>
      </c>
      <c r="F32" s="6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46172</v>
      </c>
      <c r="B33" s="49" t="str">
        <f t="shared" si="0"/>
        <v>sob</v>
      </c>
      <c r="C33" s="48"/>
      <c r="D33" s="48"/>
      <c r="E33" s="50" t="str">
        <f t="shared" si="2"/>
        <v/>
      </c>
      <c r="F33" s="4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38" cm="1">
        <f t="array" ref="A34">DATE($A$3, MONTH($A$2&amp;1), ROW($A34:A34)-3)</f>
        <v>46173</v>
      </c>
      <c r="B34" s="49" t="str">
        <f t="shared" si="0"/>
        <v>niedz</v>
      </c>
      <c r="C34" s="48"/>
      <c r="D34" s="48"/>
      <c r="E34" s="50" t="str">
        <f t="shared" si="2"/>
        <v/>
      </c>
      <c r="F34" s="47"/>
      <c r="G34" s="1" t="str">
        <f>IF('Styczeń 2026'!$B$51=1,IFERROR(IF(E34&lt;&gt;"",IF(AND(D34-C34&lt;1/3,B34&lt;&gt;"sob",B34&lt;&gt;"niedz"),"Niedogodziny","Nadgodziny"),""),""),"")</f>
        <v/>
      </c>
      <c r="H34" s="23" t="str">
        <f>IF('Styczeń 2026'!$B$51=1,IFERROR(IF(AND(E34&lt;&gt;"",OR(B34="sob",B34="niedz")),E34,IF(AND(E34&lt;&gt;"",1/3-E34&gt;0),1/3-E34,IF(AND(E34&lt;&gt;"",E34-1/3&gt;=0),E34-1/3,""))),""),"")</f>
        <v/>
      </c>
    </row>
    <row r="35" spans="1:8" x14ac:dyDescent="0.3">
      <c r="A35" s="8" t="s">
        <v>3</v>
      </c>
      <c r="B35" s="8" t="s">
        <v>7</v>
      </c>
      <c r="C35" s="89">
        <f>SUM(E4:E34)</f>
        <v>0</v>
      </c>
      <c r="D35" s="89"/>
      <c r="E35" s="89"/>
      <c r="F35" s="39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3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8" x14ac:dyDescent="0.3">
      <c r="A36" s="9" t="str">
        <f>IF(OR(ROUND(C35,2)=ROUND(B42*'Styczeń 2026'!$B$51,2),C35&gt;B42*'Styczeń 2026'!$B$51),"DO ODBIORU:","DO ZROBIENIA:")</f>
        <v>DO ZROBIENIA:</v>
      </c>
      <c r="B36" s="10" t="s">
        <v>7</v>
      </c>
      <c r="C36" s="90">
        <f>IF(B42*'Styczeń 2026'!B51-C35&lt;0,C35-B42*'Styczeń 2026'!B51,B42*'Styczeń 2026'!B51-C35)</f>
        <v>6.666666666666667</v>
      </c>
      <c r="D36" s="91"/>
      <c r="E36" s="92"/>
      <c r="F36" s="93"/>
    </row>
    <row r="37" spans="1:8" x14ac:dyDescent="0.3">
      <c r="A37" s="11" t="s">
        <v>4</v>
      </c>
      <c r="B37" s="12" t="s">
        <v>7</v>
      </c>
      <c r="C37" s="94">
        <f>COUNTIF(F:F,"urlop")/3*'Styczeń 2026'!B51</f>
        <v>0</v>
      </c>
      <c r="D37" s="95"/>
      <c r="E37" s="96"/>
      <c r="F37" s="93"/>
    </row>
    <row r="38" spans="1:8" x14ac:dyDescent="0.3">
      <c r="A38" s="17" t="str">
        <f>IF(OR(C36-C37&lt;=0,A36="DO ODBIORU:"),"POZOST. DO ODBIORU","POZOST. DO ZROBIENIA")</f>
        <v>POZOST. DO ZROBIENIA</v>
      </c>
      <c r="B38" s="103" t="s">
        <v>7</v>
      </c>
      <c r="C38" s="97">
        <f>IF(A36="DO ZROBIENIA:",IF(C37-C36&gt;0,C37-C36,C36-C37),C36+C37)</f>
        <v>6.666666666666667</v>
      </c>
      <c r="D38" s="98"/>
      <c r="E38" s="99"/>
      <c r="F38" s="93"/>
    </row>
    <row r="39" spans="1:8" x14ac:dyDescent="0.3">
      <c r="A39" s="60" t="s">
        <v>5</v>
      </c>
      <c r="B39" s="104"/>
      <c r="C39" s="100"/>
      <c r="D39" s="101"/>
      <c r="E39" s="102"/>
      <c r="F39" s="93"/>
    </row>
    <row r="40" spans="1:8" x14ac:dyDescent="0.3">
      <c r="A40" s="13"/>
      <c r="B40" s="13"/>
      <c r="C40" s="13"/>
      <c r="D40" s="13"/>
      <c r="E40" s="13"/>
      <c r="F40" s="13"/>
    </row>
    <row r="41" spans="1:8" x14ac:dyDescent="0.3">
      <c r="A41" s="13"/>
      <c r="B41" s="13"/>
      <c r="C41" s="13"/>
      <c r="D41" s="13"/>
      <c r="E41" s="13"/>
      <c r="F41" s="13"/>
    </row>
    <row r="42" spans="1:8" x14ac:dyDescent="0.3">
      <c r="A42" s="14" t="s">
        <v>6</v>
      </c>
      <c r="B42" s="53">
        <v>6.666666666666667</v>
      </c>
      <c r="C42" s="13"/>
      <c r="D42" s="13"/>
      <c r="E42" s="13"/>
      <c r="F42" s="13"/>
    </row>
    <row r="43" spans="1:8" ht="15" thickBot="1" x14ac:dyDescent="0.35">
      <c r="A43" s="13"/>
      <c r="B43" s="18"/>
      <c r="C43" s="13"/>
      <c r="D43" s="13"/>
      <c r="E43" s="13"/>
      <c r="F43" s="13"/>
    </row>
    <row r="44" spans="1:8" ht="15" thickBot="1" x14ac:dyDescent="0.35">
      <c r="A44" s="16" t="str">
        <f>IF('Styczeń 2026'!B51=1,
IF(AND('Kwiecień 2026'!A44="Nadgodziny "&amp;A3,A38="POZOST. DO ODBIORU"),"Nadgodziny "&amp;A3,
IF(AND('Kwiecień 2026'!A44="Niedogodziny "&amp;A3,A38="POZOST. DO ZROBIENIA"),"Niedogodziny "&amp;A3,
IF(AND('Kwiecień 2026'!A44="Nadgodziny "&amp;A3,A38="POZOST. DO ZROBIENIA"),
IF('Kwiecień 2026'!B44-C38&lt;0,"Niedogodziny "&amp;A3,"Nadgodziny "&amp;A3),
IF(AND('Kwiecień 2026'!A44="Niedogodziny "&amp;A3,A38="POZOST. DO ODBIORU"),
IF(C38-'Kwiecień 2026'!B44&lt;0,"Niedogodziny "&amp;A3,"Nadgodziny "&amp;A3),"błąd")))),
"Nadgodziny "&amp;A3)</f>
        <v>Niedogodziny 2026</v>
      </c>
      <c r="B44" s="55">
        <f>IF('Styczeń 2026'!B51=1,
IFERROR(
IF(AND('Kwiecień 2026'!A44="Nadgodziny "&amp;A3,A38="POZOST. DO ODBIORU"),'Kwiecień 2026'!B44+C38,
IF(AND('Kwiecień 2026'!A44="Niedogodziny "&amp;A3,A38="POZOST. DO ZROBIENIA"),'Kwiecień 2026'!B44+C38,
IF(AND('Kwiecień 2026'!A44="Nadgodziny "&amp;A3,A38="POZOST. DO ZROBIENIA",'Kwiecień 2026'!B44-C38&lt;=0),C38-'Kwiecień 2026'!B44,
IF(AND('Kwiecień 2026'!A44="Nadgodziny "&amp;A3,A38="POZOST. DO ZROBIENIA",C38-'Kwiecień 2026'!B44&lt;=0),'Kwiecień 2026'!B44-C38,
IF(AND('Kwiecień 2026'!A44="Niedogodziny "&amp;A3,A38="POZOST. DO ODBIORU",'Kwiecień 2026'!B44-C38&lt;=0),C38-'Kwiecień 2026'!B44,
IF(AND('Kwiecień 2026'!A44="Niedogodziny "&amp;A3,A38="POZOST. DO ODBIORU",C38-'Kwiecień 2026'!B44&lt;=0),'Kwiecień 2026'!B44-C38,"błąd")))))),
"błąd"),"-")</f>
        <v>35.333333333333329</v>
      </c>
      <c r="C44" s="13"/>
      <c r="D44" s="13"/>
      <c r="E44" s="13"/>
      <c r="F44" s="13"/>
    </row>
    <row r="45" spans="1:8" x14ac:dyDescent="0.3">
      <c r="A45" s="19"/>
      <c r="B45" s="13"/>
      <c r="C45" s="13"/>
      <c r="D45" s="13"/>
      <c r="E45" s="13"/>
      <c r="F45" s="13"/>
    </row>
  </sheetData>
  <mergeCells count="8">
    <mergeCell ref="A1:B1"/>
    <mergeCell ref="C1:F2"/>
    <mergeCell ref="C35:E35"/>
    <mergeCell ref="C36:E36"/>
    <mergeCell ref="F36:F39"/>
    <mergeCell ref="C37:E37"/>
    <mergeCell ref="C38:E39"/>
    <mergeCell ref="B38:B39"/>
  </mergeCells>
  <conditionalFormatting sqref="B44">
    <cfRule type="expression" dxfId="47" priority="5">
      <formula>$A$44="nadgodziny " &amp; $A$3</formula>
    </cfRule>
    <cfRule type="expression" dxfId="46" priority="6">
      <formula>$A$44="niedogodziny " &amp; $A$3</formula>
    </cfRule>
  </conditionalFormatting>
  <conditionalFormatting sqref="C38">
    <cfRule type="expression" dxfId="45" priority="3">
      <formula>$A$38="POZOST. DO ODBIORU"</formula>
    </cfRule>
    <cfRule type="expression" dxfId="44" priority="4">
      <formula>$A$38="POZOST. DO ZROBIENIA"</formula>
    </cfRule>
  </conditionalFormatting>
  <conditionalFormatting sqref="H35">
    <cfRule type="expression" dxfId="43" priority="1">
      <formula>$G$35="Nadgodziny (obecny m-c)"</formula>
    </cfRule>
    <cfRule type="expression" dxfId="42" priority="2">
      <formula>$G$35="Niedogodziny (obecny m-c)"</formula>
    </cfRule>
  </conditionalFormatting>
  <dataValidations count="1">
    <dataValidation type="list" allowBlank="1" showInputMessage="1" showErrorMessage="1" sqref="F4:F34" xr:uid="{00000000-0002-0000-0400-000000000000}">
      <formula1>"biuro,zdalnie,urlop"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N47"/>
  <sheetViews>
    <sheetView workbookViewId="0">
      <selection sqref="A1:B1"/>
    </sheetView>
  </sheetViews>
  <sheetFormatPr defaultRowHeight="14.4" x14ac:dyDescent="0.3"/>
  <cols>
    <col min="1" max="1" width="18.77734375" customWidth="1"/>
    <col min="2" max="2" width="13.33203125" customWidth="1"/>
    <col min="6" max="6" width="20.77734375" customWidth="1"/>
    <col min="7" max="7" width="25.77734375" customWidth="1"/>
    <col min="8" max="8" width="8.77734375" customWidth="1"/>
  </cols>
  <sheetData>
    <row r="1" spans="1:8" ht="15" customHeight="1" x14ac:dyDescent="0.3">
      <c r="A1" s="81" t="s">
        <v>24</v>
      </c>
      <c r="B1" s="82"/>
      <c r="C1" s="117" t="s">
        <v>14</v>
      </c>
      <c r="D1" s="84"/>
      <c r="E1" s="84"/>
      <c r="F1" s="85"/>
    </row>
    <row r="2" spans="1:8" x14ac:dyDescent="0.3">
      <c r="A2" s="6" t="s">
        <v>13</v>
      </c>
      <c r="B2" s="6" t="s">
        <v>7</v>
      </c>
      <c r="C2" s="86"/>
      <c r="D2" s="87"/>
      <c r="E2" s="87"/>
      <c r="F2" s="88"/>
    </row>
    <row r="3" spans="1:8" ht="27.6" x14ac:dyDescent="0.3">
      <c r="A3" s="6">
        <v>2026</v>
      </c>
      <c r="B3" s="21" t="s">
        <v>7</v>
      </c>
      <c r="C3" s="7" t="s">
        <v>0</v>
      </c>
      <c r="D3" s="7" t="s">
        <v>1</v>
      </c>
      <c r="E3" s="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46174</v>
      </c>
      <c r="B4" s="70" t="str">
        <f t="shared" ref="B4:B33" si="0">TEXT(A4,"ddd")</f>
        <v>pon</v>
      </c>
      <c r="C4" s="71"/>
      <c r="D4" s="71"/>
      <c r="E4" s="65" t="str">
        <f>IFERROR(IF(AND(C4&lt;&gt;"",D4&lt;&gt;"",D4-C4&gt;=0),D4-C4,""),"")</f>
        <v/>
      </c>
      <c r="F4" s="68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46175</v>
      </c>
      <c r="B5" s="70" t="str">
        <f t="shared" si="0"/>
        <v>wt</v>
      </c>
      <c r="C5" s="71"/>
      <c r="D5" s="71"/>
      <c r="E5" s="65" t="str">
        <f t="shared" ref="E5:E33" si="1">IFERROR(IF(AND(C5&lt;&gt;"",D5&lt;&gt;"",D5-C5&gt;=0),D5-C5,""),"")</f>
        <v/>
      </c>
      <c r="F5" s="67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46176</v>
      </c>
      <c r="B6" s="70" t="str">
        <f t="shared" si="0"/>
        <v>śr</v>
      </c>
      <c r="C6" s="71"/>
      <c r="D6" s="71"/>
      <c r="E6" s="65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46177</v>
      </c>
      <c r="B7" s="70" t="str">
        <f t="shared" si="0"/>
        <v>czw</v>
      </c>
      <c r="C7" s="71"/>
      <c r="D7" s="71"/>
      <c r="E7" s="65" t="str">
        <f t="shared" si="1"/>
        <v/>
      </c>
      <c r="F7" s="67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46178</v>
      </c>
      <c r="B8" s="70" t="str">
        <f t="shared" si="0"/>
        <v>pt</v>
      </c>
      <c r="C8" s="71"/>
      <c r="D8" s="71"/>
      <c r="E8" s="65" t="str">
        <f t="shared" si="1"/>
        <v/>
      </c>
      <c r="F8" s="67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46179</v>
      </c>
      <c r="B9" s="49" t="str">
        <f t="shared" si="0"/>
        <v>sob</v>
      </c>
      <c r="C9" s="48"/>
      <c r="D9" s="48"/>
      <c r="E9" s="44" t="str">
        <f t="shared" si="1"/>
        <v/>
      </c>
      <c r="F9" s="45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46180</v>
      </c>
      <c r="B10" s="49" t="str">
        <f t="shared" si="0"/>
        <v>niedz</v>
      </c>
      <c r="C10" s="44"/>
      <c r="D10" s="44"/>
      <c r="E10" s="44" t="str">
        <f t="shared" si="1"/>
        <v/>
      </c>
      <c r="F10" s="45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46181</v>
      </c>
      <c r="B11" s="70" t="str">
        <f t="shared" si="0"/>
        <v>pon</v>
      </c>
      <c r="C11" s="71"/>
      <c r="D11" s="71"/>
      <c r="E11" s="65" t="str">
        <f t="shared" si="1"/>
        <v/>
      </c>
      <c r="F11" s="68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46182</v>
      </c>
      <c r="B12" s="70" t="str">
        <f t="shared" si="0"/>
        <v>wt</v>
      </c>
      <c r="C12" s="71"/>
      <c r="D12" s="71"/>
      <c r="E12" s="65" t="str">
        <f t="shared" si="1"/>
        <v/>
      </c>
      <c r="F12" s="67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46183</v>
      </c>
      <c r="B13" s="70" t="str">
        <f t="shared" si="0"/>
        <v>śr</v>
      </c>
      <c r="C13" s="65"/>
      <c r="D13" s="65"/>
      <c r="E13" s="65" t="str">
        <f t="shared" si="1"/>
        <v/>
      </c>
      <c r="F13" s="67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46184</v>
      </c>
      <c r="B14" s="70" t="str">
        <f t="shared" si="0"/>
        <v>czw</v>
      </c>
      <c r="C14" s="71"/>
      <c r="D14" s="71"/>
      <c r="E14" s="65" t="str">
        <f t="shared" si="1"/>
        <v/>
      </c>
      <c r="F14" s="67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46185</v>
      </c>
      <c r="B15" s="70" t="str">
        <f t="shared" si="0"/>
        <v>pt</v>
      </c>
      <c r="C15" s="71"/>
      <c r="D15" s="71"/>
      <c r="E15" s="65" t="str">
        <f t="shared" si="1"/>
        <v/>
      </c>
      <c r="F15" s="67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46186</v>
      </c>
      <c r="B16" s="49" t="str">
        <f t="shared" si="0"/>
        <v>sob</v>
      </c>
      <c r="C16" s="48"/>
      <c r="D16" s="48"/>
      <c r="E16" s="44" t="str">
        <f t="shared" si="1"/>
        <v/>
      </c>
      <c r="F16" s="45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14" x14ac:dyDescent="0.3">
      <c r="A17" s="38" cm="1">
        <f t="array" ref="A17">DATE($A$3, MONTH($A$2&amp;1), ROW($A17:A17)-3)</f>
        <v>46187</v>
      </c>
      <c r="B17" s="49" t="str">
        <f t="shared" si="0"/>
        <v>niedz</v>
      </c>
      <c r="C17" s="44"/>
      <c r="D17" s="44"/>
      <c r="E17" s="44" t="str">
        <f t="shared" si="1"/>
        <v/>
      </c>
      <c r="F17" s="45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14" x14ac:dyDescent="0.3">
      <c r="A18" s="38" cm="1">
        <f t="array" ref="A18">DATE($A$3, MONTH($A$2&amp;1), ROW($A18:A18)-3)</f>
        <v>46188</v>
      </c>
      <c r="B18" s="70" t="str">
        <f t="shared" si="0"/>
        <v>pon</v>
      </c>
      <c r="C18" s="71"/>
      <c r="D18" s="71"/>
      <c r="E18" s="65" t="str">
        <f t="shared" si="1"/>
        <v/>
      </c>
      <c r="F18" s="67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14" x14ac:dyDescent="0.3">
      <c r="A19" s="38" cm="1">
        <f t="array" ref="A19">DATE($A$3, MONTH($A$2&amp;1), ROW($A19:A19)-3)</f>
        <v>46189</v>
      </c>
      <c r="B19" s="70" t="str">
        <f t="shared" si="0"/>
        <v>wt</v>
      </c>
      <c r="C19" s="71"/>
      <c r="D19" s="71"/>
      <c r="E19" s="65" t="str">
        <f t="shared" si="1"/>
        <v/>
      </c>
      <c r="F19" s="67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14" x14ac:dyDescent="0.3">
      <c r="A20" s="38" cm="1">
        <f t="array" ref="A20">DATE($A$3, MONTH($A$2&amp;1), ROW($A20:A20)-3)</f>
        <v>46190</v>
      </c>
      <c r="B20" s="70" t="str">
        <f t="shared" si="0"/>
        <v>śr</v>
      </c>
      <c r="C20" s="71"/>
      <c r="D20" s="71"/>
      <c r="E20" s="65" t="str">
        <f t="shared" si="1"/>
        <v/>
      </c>
      <c r="F20" s="67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14" x14ac:dyDescent="0.3">
      <c r="A21" s="38" cm="1">
        <f t="array" ref="A21">DATE($A$3, MONTH($A$2&amp;1), ROW($A21:A21)-3)</f>
        <v>46191</v>
      </c>
      <c r="B21" s="70" t="str">
        <f t="shared" si="0"/>
        <v>czw</v>
      </c>
      <c r="C21" s="71"/>
      <c r="D21" s="71"/>
      <c r="E21" s="65" t="str">
        <f t="shared" si="1"/>
        <v/>
      </c>
      <c r="F21" s="67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14" x14ac:dyDescent="0.3">
      <c r="A22" s="38" cm="1">
        <f t="array" ref="A22">DATE($A$3, MONTH($A$2&amp;1), ROW($A22:A22)-3)</f>
        <v>46192</v>
      </c>
      <c r="B22" s="70" t="str">
        <f t="shared" si="0"/>
        <v>pt</v>
      </c>
      <c r="C22" s="65"/>
      <c r="D22" s="65"/>
      <c r="E22" s="65" t="str">
        <f t="shared" si="1"/>
        <v/>
      </c>
      <c r="F22" s="67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14" x14ac:dyDescent="0.3">
      <c r="A23" s="38" cm="1">
        <f t="array" ref="A23">DATE($A$3, MONTH($A$2&amp;1), ROW($A23:A23)-3)</f>
        <v>46193</v>
      </c>
      <c r="B23" s="49" t="str">
        <f t="shared" si="0"/>
        <v>sob</v>
      </c>
      <c r="C23" s="44"/>
      <c r="D23" s="44"/>
      <c r="E23" s="44" t="str">
        <f t="shared" si="1"/>
        <v/>
      </c>
      <c r="F23" s="45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14" x14ac:dyDescent="0.3">
      <c r="A24" s="38" cm="1">
        <f t="array" ref="A24">DATE($A$3, MONTH($A$2&amp;1), ROW($A24:A24)-3)</f>
        <v>46194</v>
      </c>
      <c r="B24" s="49" t="str">
        <f t="shared" si="0"/>
        <v>niedz</v>
      </c>
      <c r="C24" s="44"/>
      <c r="D24" s="44"/>
      <c r="E24" s="44" t="str">
        <f t="shared" si="1"/>
        <v/>
      </c>
      <c r="F24" s="45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14" x14ac:dyDescent="0.3">
      <c r="A25" s="38" cm="1">
        <f t="array" ref="A25">DATE($A$3, MONTH($A$2&amp;1), ROW($A25:A25)-3)</f>
        <v>46195</v>
      </c>
      <c r="B25" s="70" t="str">
        <f t="shared" si="0"/>
        <v>pon</v>
      </c>
      <c r="C25" s="71"/>
      <c r="D25" s="71"/>
      <c r="E25" s="65" t="str">
        <f t="shared" si="1"/>
        <v/>
      </c>
      <c r="F25" s="67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14" x14ac:dyDescent="0.3">
      <c r="A26" s="38" cm="1">
        <f t="array" ref="A26">DATE($A$3, MONTH($A$2&amp;1), ROW($A26:A26)-3)</f>
        <v>46196</v>
      </c>
      <c r="B26" s="70" t="str">
        <f t="shared" si="0"/>
        <v>wt</v>
      </c>
      <c r="C26" s="71"/>
      <c r="D26" s="71"/>
      <c r="E26" s="65" t="str">
        <f t="shared" si="1"/>
        <v/>
      </c>
      <c r="F26" s="67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14" x14ac:dyDescent="0.3">
      <c r="A27" s="38" cm="1">
        <f t="array" ref="A27">DATE($A$3, MONTH($A$2&amp;1), ROW($A27:A27)-3)</f>
        <v>46197</v>
      </c>
      <c r="B27" s="70" t="str">
        <f t="shared" si="0"/>
        <v>śr</v>
      </c>
      <c r="C27" s="71"/>
      <c r="D27" s="71"/>
      <c r="E27" s="65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14" x14ac:dyDescent="0.3">
      <c r="A28" s="38" cm="1">
        <f t="array" ref="A28">DATE($A$3, MONTH($A$2&amp;1), ROW($A28:A28)-3)</f>
        <v>46198</v>
      </c>
      <c r="B28" s="70" t="str">
        <f t="shared" si="0"/>
        <v>czw</v>
      </c>
      <c r="C28" s="71"/>
      <c r="D28" s="71"/>
      <c r="E28" s="65" t="str">
        <f t="shared" si="1"/>
        <v/>
      </c>
      <c r="F28" s="67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14" x14ac:dyDescent="0.3">
      <c r="A29" s="38" cm="1">
        <f t="array" ref="A29">DATE($A$3, MONTH($A$2&amp;1), ROW($A29:A29)-3)</f>
        <v>46199</v>
      </c>
      <c r="B29" s="70" t="str">
        <f t="shared" si="0"/>
        <v>pt</v>
      </c>
      <c r="C29" s="71"/>
      <c r="D29" s="71"/>
      <c r="E29" s="65" t="str">
        <f t="shared" si="1"/>
        <v/>
      </c>
      <c r="F29" s="67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14" x14ac:dyDescent="0.3">
      <c r="A30" s="38" cm="1">
        <f t="array" ref="A30">DATE($A$3, MONTH($A$2&amp;1), ROW($A30:A30)-3)</f>
        <v>46200</v>
      </c>
      <c r="B30" s="49" t="str">
        <f t="shared" si="0"/>
        <v>sob</v>
      </c>
      <c r="C30" s="48"/>
      <c r="D30" s="48"/>
      <c r="E30" s="44" t="str">
        <f t="shared" si="1"/>
        <v/>
      </c>
      <c r="F30" s="45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  <c r="L30" s="24"/>
      <c r="M30" s="24"/>
      <c r="N30" s="24"/>
    </row>
    <row r="31" spans="1:14" x14ac:dyDescent="0.3">
      <c r="A31" s="38" cm="1">
        <f t="array" ref="A31">DATE($A$3, MONTH($A$2&amp;1), ROW($A31:A31)-3)</f>
        <v>46201</v>
      </c>
      <c r="B31" s="49" t="str">
        <f t="shared" si="0"/>
        <v>niedz</v>
      </c>
      <c r="C31" s="44"/>
      <c r="D31" s="44"/>
      <c r="E31" s="44" t="str">
        <f t="shared" si="1"/>
        <v/>
      </c>
      <c r="F31" s="45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14" x14ac:dyDescent="0.3">
      <c r="A32" s="38" cm="1">
        <f t="array" ref="A32">DATE($A$3, MONTH($A$2&amp;1), ROW($A32:A32)-3)</f>
        <v>46202</v>
      </c>
      <c r="B32" s="70" t="str">
        <f t="shared" si="0"/>
        <v>pon</v>
      </c>
      <c r="C32" s="71"/>
      <c r="D32" s="71"/>
      <c r="E32" s="65" t="str">
        <f t="shared" si="1"/>
        <v/>
      </c>
      <c r="F32" s="6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46203</v>
      </c>
      <c r="B33" s="70" t="str">
        <f t="shared" si="0"/>
        <v>wt</v>
      </c>
      <c r="C33" s="71"/>
      <c r="D33" s="71"/>
      <c r="E33" s="65" t="str">
        <f t="shared" si="1"/>
        <v/>
      </c>
      <c r="F33" s="6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8" t="s">
        <v>3</v>
      </c>
      <c r="B34" s="8" t="s">
        <v>7</v>
      </c>
      <c r="C34" s="89">
        <f>SUM(E4:E33)</f>
        <v>0</v>
      </c>
      <c r="D34" s="89"/>
      <c r="E34" s="89"/>
      <c r="F34" s="39" t="s">
        <v>7</v>
      </c>
      <c r="G34" s="4" t="str">
        <f>IF(SUMIF(G4:G33,"Nadgodziny",H4:H33) - SUMIF(G4:G33,"Niedogodziny",H4:H33) &gt;= 0,"Nadgodziny (obecny m-c)", "Niedogodziny (obecny m-c)")</f>
        <v>Nadgodziny (obecny m-c)</v>
      </c>
      <c r="H34" s="53">
        <f>IF(SUMIF(G4:G33,"Nadgodziny",H4:H33) - SUMIF(G4:G33,"Niedogodziny",H4:H33) &gt; 0,SUMIF(G4:G33,"Nadgodziny",H4:H33) - SUMIF(G4:G33,"Niedogodziny",H4:H33), SUMIF(G4:G33,"Niedogodziny",H4:H33) - SUMIF(G4:G33,"Nadgodziny",H4:H33))</f>
        <v>0</v>
      </c>
    </row>
    <row r="35" spans="1:8" x14ac:dyDescent="0.3">
      <c r="A35" s="9" t="str">
        <f>IF(OR(ROUND(C34,2)=ROUND(B42*'Styczeń 2026'!$B$51,2),C34&gt;B42*'Styczeń 2026'!$B$51),"DO ODBIORU:","DO ZROBIENIA:")</f>
        <v>DO ZROBIENIA:</v>
      </c>
      <c r="B35" s="10" t="s">
        <v>7</v>
      </c>
      <c r="C35" s="90">
        <f>IF(B42*'Styczeń 2026'!B51-C34&lt;0,C34-B42*'Styczeń 2026'!B51,B42*'Styczeń 2026'!B51-C34)</f>
        <v>7</v>
      </c>
      <c r="D35" s="91"/>
      <c r="E35" s="92"/>
      <c r="F35" s="93"/>
    </row>
    <row r="36" spans="1:8" x14ac:dyDescent="0.3">
      <c r="A36" s="11" t="s">
        <v>4</v>
      </c>
      <c r="B36" s="12" t="s">
        <v>7</v>
      </c>
      <c r="C36" s="94">
        <f>COUNTIF(F:F,"urlop")/3*'Styczeń 2026'!B51</f>
        <v>0</v>
      </c>
      <c r="D36" s="95"/>
      <c r="E36" s="96"/>
      <c r="F36" s="93"/>
    </row>
    <row r="37" spans="1:8" x14ac:dyDescent="0.3">
      <c r="A37" s="17" t="str">
        <f>IF(OR(C35-C36&lt;=0,A35="DO ODBIORU:"),"POZOST. DO ODBIORU","POZOST. DO ZROBIENIA")</f>
        <v>POZOST. DO ZROBIENIA</v>
      </c>
      <c r="B37" s="103" t="s">
        <v>7</v>
      </c>
      <c r="C37" s="97">
        <f>IF(A35="DO ZROBIENIA:",IF(C36-C35&gt;0,C36-C35,C35-C36),C35+C36)</f>
        <v>7</v>
      </c>
      <c r="D37" s="98"/>
      <c r="E37" s="99"/>
      <c r="F37" s="93"/>
    </row>
    <row r="38" spans="1:8" x14ac:dyDescent="0.3">
      <c r="A38" s="60" t="s">
        <v>5</v>
      </c>
      <c r="B38" s="104"/>
      <c r="C38" s="100"/>
      <c r="D38" s="101"/>
      <c r="E38" s="102"/>
      <c r="F38" s="93"/>
    </row>
    <row r="39" spans="1:8" x14ac:dyDescent="0.3">
      <c r="A39" s="13"/>
      <c r="B39" s="13"/>
      <c r="C39" s="13"/>
      <c r="D39" s="13"/>
      <c r="E39" s="13"/>
      <c r="F39" s="13"/>
    </row>
    <row r="40" spans="1:8" x14ac:dyDescent="0.3">
      <c r="A40" s="13"/>
      <c r="B40" s="13"/>
      <c r="C40" s="13"/>
      <c r="D40" s="13"/>
      <c r="E40" s="13"/>
      <c r="F40" s="13"/>
    </row>
    <row r="41" spans="1:8" x14ac:dyDescent="0.3">
      <c r="C41" s="13"/>
      <c r="D41" s="13"/>
      <c r="E41" s="13"/>
      <c r="F41" s="13"/>
    </row>
    <row r="42" spans="1:8" x14ac:dyDescent="0.3">
      <c r="A42" s="14" t="s">
        <v>6</v>
      </c>
      <c r="B42" s="53">
        <v>7</v>
      </c>
      <c r="C42" s="13"/>
      <c r="D42" s="13"/>
      <c r="E42" s="13"/>
      <c r="F42" s="13"/>
    </row>
    <row r="43" spans="1:8" ht="15" thickBot="1" x14ac:dyDescent="0.35">
      <c r="A43" s="13"/>
      <c r="B43" s="18"/>
      <c r="C43" s="13"/>
      <c r="D43" s="13"/>
      <c r="E43" s="13"/>
      <c r="F43" s="13"/>
    </row>
    <row r="44" spans="1:8" ht="15" thickBot="1" x14ac:dyDescent="0.35">
      <c r="A44" s="16" t="str">
        <f>IF('Styczeń 2026'!B51=1,
IF(AND('Maj 2026'!A44="Nadgodziny "&amp;A3,A37="POZOST. DO ODBIORU"),"Nadgodziny "&amp;A3,
IF(AND('Maj 2026'!A44="Niedogodziny "&amp;A3,A37="POZOST. DO ZROBIENIA"),"Niedogodziny "&amp;A3,
IF(AND('Maj 2026'!A44="Nadgodziny "&amp;A3,A37="POZOST. DO ZROBIENIA"),
IF('Maj 2026'!B44-C37&lt;0,"Niedogodziny "&amp;A3,"Nadgodziny "&amp;A3),
IF(AND('Maj 2026'!A44="Niedogodziny "&amp;A3,A37="POZOST. DO ODBIORU"),
IF(C37-'Maj 2026'!B44&lt;0,"Niedogodziny "&amp;A3,"Nadgodziny "&amp;A3),"błąd")))),
"Nadgodziny "&amp;A3)</f>
        <v>Niedogodziny 2026</v>
      </c>
      <c r="B44" s="55">
        <f>IF('Styczeń 2026'!B51=1,
IFERROR(
IF(AND('Maj 2026'!A44="Nadgodziny "&amp;A3,A37="POZOST. DO ODBIORU"),'Maj 2026'!B44+C37,
IF(AND('Maj 2026'!A44="Niedogodziny "&amp;A3,A37="POZOST. DO ZROBIENIA"),'Maj 2026'!B44+C37,
IF(AND('Maj 2026'!A44="Nadgodziny "&amp;A3,A37="POZOST. DO ZROBIENIA",'Maj 2026'!B44-C37&lt;=0),C37-'Maj 2026'!B44,
IF(AND('Maj 2026'!A44="Nadgodziny "&amp;A3,A37="POZOST. DO ZROBIENIA",C37-'Maj 2026'!B44&lt;=0),'Maj 2026'!B44-C37,
IF(AND('Maj 2026'!A44="Niedogodziny "&amp;A3,A37="POZOST. DO ODBIORU",'Maj 2026'!B44-C37&lt;=0),C37-'Maj 2026'!B44,
IF(AND('Maj 2026'!A44="Niedogodziny "&amp;A3,A37="POZOST. DO ODBIORU",C37-'Maj 2026'!B44&lt;=0),'Maj 2026'!B44-C37,"błąd")))))),
"błąd"),"-")</f>
        <v>42.333333333333329</v>
      </c>
      <c r="C44" s="13"/>
      <c r="D44" s="13"/>
      <c r="E44" s="13"/>
      <c r="F44" s="13"/>
    </row>
    <row r="46" spans="1:8" x14ac:dyDescent="0.3">
      <c r="A46" s="20"/>
    </row>
    <row r="47" spans="1:8" x14ac:dyDescent="0.3">
      <c r="A47" s="20"/>
    </row>
  </sheetData>
  <mergeCells count="8">
    <mergeCell ref="A1:B1"/>
    <mergeCell ref="C1:F2"/>
    <mergeCell ref="C34:E34"/>
    <mergeCell ref="C35:E35"/>
    <mergeCell ref="F35:F38"/>
    <mergeCell ref="C36:E36"/>
    <mergeCell ref="C37:E38"/>
    <mergeCell ref="B37:B38"/>
  </mergeCells>
  <conditionalFormatting sqref="B44">
    <cfRule type="expression" dxfId="41" priority="5">
      <formula>$A$44="nadgodziny " &amp; $A$3</formula>
    </cfRule>
    <cfRule type="expression" dxfId="40" priority="6">
      <formula>$A$44="niedogodziny " &amp; $A$3</formula>
    </cfRule>
  </conditionalFormatting>
  <conditionalFormatting sqref="C37">
    <cfRule type="expression" dxfId="39" priority="3">
      <formula>$A$37="POZOST. DO ODBIORU"</formula>
    </cfRule>
    <cfRule type="expression" dxfId="38" priority="4">
      <formula>$A$37="POZOST. DO ZROBIENIA"</formula>
    </cfRule>
  </conditionalFormatting>
  <conditionalFormatting sqref="H34">
    <cfRule type="expression" dxfId="37" priority="1">
      <formula>$G$34="Nadgodziny (obecny m-c)"</formula>
    </cfRule>
    <cfRule type="expression" dxfId="36" priority="2">
      <formula>$G$34="Niedogodziny (obecny m-c)"</formula>
    </cfRule>
  </conditionalFormatting>
  <dataValidations count="1">
    <dataValidation type="list" allowBlank="1" showInputMessage="1" showErrorMessage="1" sqref="F4:F33" xr:uid="{00000000-0002-0000-0500-000000000000}">
      <formula1>"biuro,zdalnie,urlop"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H48"/>
  <sheetViews>
    <sheetView workbookViewId="0">
      <selection sqref="A1:B1"/>
    </sheetView>
  </sheetViews>
  <sheetFormatPr defaultColWidth="8.88671875" defaultRowHeight="14.4" x14ac:dyDescent="0.3"/>
  <cols>
    <col min="1" max="1" width="18.6640625" customWidth="1"/>
    <col min="2" max="2" width="13.33203125" customWidth="1"/>
    <col min="6" max="6" width="20.77734375" customWidth="1"/>
    <col min="7" max="7" width="25.6640625" customWidth="1"/>
    <col min="8" max="8" width="8.6640625" customWidth="1"/>
  </cols>
  <sheetData>
    <row r="1" spans="1:8" ht="15" customHeight="1" x14ac:dyDescent="0.3">
      <c r="A1" s="81" t="s">
        <v>24</v>
      </c>
      <c r="B1" s="82"/>
      <c r="C1" s="118" t="s">
        <v>14</v>
      </c>
      <c r="D1" s="119"/>
      <c r="E1" s="119"/>
      <c r="F1" s="120"/>
    </row>
    <row r="2" spans="1:8" ht="15" customHeight="1" x14ac:dyDescent="0.3">
      <c r="A2" s="25" t="s">
        <v>17</v>
      </c>
      <c r="B2" s="25" t="s">
        <v>7</v>
      </c>
      <c r="C2" s="121"/>
      <c r="D2" s="122"/>
      <c r="E2" s="122"/>
      <c r="F2" s="123"/>
    </row>
    <row r="3" spans="1:8" ht="27.6" x14ac:dyDescent="0.3">
      <c r="A3" s="6">
        <v>2026</v>
      </c>
      <c r="B3" s="26" t="s">
        <v>7</v>
      </c>
      <c r="C3" s="27" t="s">
        <v>0</v>
      </c>
      <c r="D3" s="27" t="s">
        <v>1</v>
      </c>
      <c r="E3" s="2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46204</v>
      </c>
      <c r="B4" s="70" t="str">
        <f t="shared" ref="B4:B34" si="0">TEXT(A4,"ddd")</f>
        <v>śr</v>
      </c>
      <c r="C4" s="71"/>
      <c r="D4" s="71"/>
      <c r="E4" s="72" t="str">
        <f t="shared" ref="E4:E34" si="1">IFERROR(IF(AND(C4&lt;&gt;"",D4&lt;&gt;"",D4-C4&gt;=0),D4-C4,""),"")</f>
        <v/>
      </c>
      <c r="F4" s="67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46205</v>
      </c>
      <c r="B5" s="70" t="str">
        <f t="shared" si="0"/>
        <v>czw</v>
      </c>
      <c r="C5" s="71"/>
      <c r="D5" s="71"/>
      <c r="E5" s="72" t="str">
        <f t="shared" si="1"/>
        <v/>
      </c>
      <c r="F5" s="67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46206</v>
      </c>
      <c r="B6" s="70" t="str">
        <f t="shared" si="0"/>
        <v>pt</v>
      </c>
      <c r="C6" s="71"/>
      <c r="D6" s="71"/>
      <c r="E6" s="72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46207</v>
      </c>
      <c r="B7" s="49" t="str">
        <f t="shared" si="0"/>
        <v>sob</v>
      </c>
      <c r="C7" s="48"/>
      <c r="D7" s="48"/>
      <c r="E7" s="51" t="str">
        <f t="shared" si="1"/>
        <v/>
      </c>
      <c r="F7" s="45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46208</v>
      </c>
      <c r="B8" s="49" t="str">
        <f t="shared" si="0"/>
        <v>niedz</v>
      </c>
      <c r="C8" s="48"/>
      <c r="D8" s="48"/>
      <c r="E8" s="51" t="str">
        <f t="shared" si="1"/>
        <v/>
      </c>
      <c r="F8" s="45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46209</v>
      </c>
      <c r="B9" s="70" t="str">
        <f t="shared" si="0"/>
        <v>pon</v>
      </c>
      <c r="C9" s="71"/>
      <c r="D9" s="71"/>
      <c r="E9" s="72" t="str">
        <f t="shared" si="1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46210</v>
      </c>
      <c r="B10" s="70" t="str">
        <f t="shared" si="0"/>
        <v>wt</v>
      </c>
      <c r="C10" s="71"/>
      <c r="D10" s="71"/>
      <c r="E10" s="72" t="str">
        <f t="shared" si="1"/>
        <v/>
      </c>
      <c r="F10" s="67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46211</v>
      </c>
      <c r="B11" s="70" t="str">
        <f t="shared" si="0"/>
        <v>śr</v>
      </c>
      <c r="C11" s="71"/>
      <c r="D11" s="71"/>
      <c r="E11" s="72" t="str">
        <f t="shared" si="1"/>
        <v/>
      </c>
      <c r="F11" s="67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46212</v>
      </c>
      <c r="B12" s="70" t="str">
        <f t="shared" si="0"/>
        <v>czw</v>
      </c>
      <c r="C12" s="71"/>
      <c r="D12" s="71"/>
      <c r="E12" s="72" t="str">
        <f t="shared" si="1"/>
        <v/>
      </c>
      <c r="F12" s="67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46213</v>
      </c>
      <c r="B13" s="70" t="str">
        <f t="shared" si="0"/>
        <v>pt</v>
      </c>
      <c r="C13" s="71"/>
      <c r="D13" s="71"/>
      <c r="E13" s="72" t="str">
        <f t="shared" si="1"/>
        <v/>
      </c>
      <c r="F13" s="67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46214</v>
      </c>
      <c r="B14" s="49" t="str">
        <f t="shared" si="0"/>
        <v>sob</v>
      </c>
      <c r="C14" s="48"/>
      <c r="D14" s="48"/>
      <c r="E14" s="51" t="str">
        <f t="shared" si="1"/>
        <v/>
      </c>
      <c r="F14" s="45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46215</v>
      </c>
      <c r="B15" s="49" t="str">
        <f t="shared" si="0"/>
        <v>niedz</v>
      </c>
      <c r="C15" s="51"/>
      <c r="D15" s="51"/>
      <c r="E15" s="51" t="str">
        <f t="shared" si="1"/>
        <v/>
      </c>
      <c r="F15" s="45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46216</v>
      </c>
      <c r="B16" s="70" t="str">
        <f t="shared" si="0"/>
        <v>pon</v>
      </c>
      <c r="C16" s="71"/>
      <c r="D16" s="71"/>
      <c r="E16" s="72" t="str">
        <f t="shared" si="1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46217</v>
      </c>
      <c r="B17" s="70" t="str">
        <f t="shared" si="0"/>
        <v>wt</v>
      </c>
      <c r="C17" s="71"/>
      <c r="D17" s="71"/>
      <c r="E17" s="72" t="str">
        <f t="shared" si="1"/>
        <v/>
      </c>
      <c r="F17" s="67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46218</v>
      </c>
      <c r="B18" s="70" t="str">
        <f t="shared" si="0"/>
        <v>śr</v>
      </c>
      <c r="C18" s="71"/>
      <c r="D18" s="71"/>
      <c r="E18" s="72" t="str">
        <f t="shared" si="1"/>
        <v/>
      </c>
      <c r="F18" s="67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46219</v>
      </c>
      <c r="B19" s="70" t="str">
        <f t="shared" si="0"/>
        <v>czw</v>
      </c>
      <c r="C19" s="71"/>
      <c r="D19" s="71"/>
      <c r="E19" s="72" t="str">
        <f t="shared" si="1"/>
        <v/>
      </c>
      <c r="F19" s="67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46220</v>
      </c>
      <c r="B20" s="70" t="str">
        <f t="shared" si="0"/>
        <v>pt</v>
      </c>
      <c r="C20" s="71"/>
      <c r="D20" s="71"/>
      <c r="E20" s="72" t="str">
        <f t="shared" si="1"/>
        <v/>
      </c>
      <c r="F20" s="67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46221</v>
      </c>
      <c r="B21" s="49" t="str">
        <f t="shared" si="0"/>
        <v>sob</v>
      </c>
      <c r="C21" s="48"/>
      <c r="D21" s="48"/>
      <c r="E21" s="51" t="str">
        <f t="shared" si="1"/>
        <v/>
      </c>
      <c r="F21" s="45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46222</v>
      </c>
      <c r="B22" s="49" t="str">
        <f t="shared" si="0"/>
        <v>niedz</v>
      </c>
      <c r="C22" s="51"/>
      <c r="D22" s="51"/>
      <c r="E22" s="51" t="str">
        <f t="shared" si="1"/>
        <v/>
      </c>
      <c r="F22" s="45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46223</v>
      </c>
      <c r="B23" s="70" t="str">
        <f t="shared" si="0"/>
        <v>pon</v>
      </c>
      <c r="C23" s="71"/>
      <c r="D23" s="71"/>
      <c r="E23" s="72" t="str">
        <f t="shared" si="1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46224</v>
      </c>
      <c r="B24" s="70" t="str">
        <f t="shared" si="0"/>
        <v>wt</v>
      </c>
      <c r="C24" s="71"/>
      <c r="D24" s="71"/>
      <c r="E24" s="72" t="str">
        <f t="shared" si="1"/>
        <v/>
      </c>
      <c r="F24" s="67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46225</v>
      </c>
      <c r="B25" s="70" t="str">
        <f t="shared" si="0"/>
        <v>śr</v>
      </c>
      <c r="C25" s="71"/>
      <c r="D25" s="71"/>
      <c r="E25" s="72" t="str">
        <f t="shared" si="1"/>
        <v/>
      </c>
      <c r="F25" s="67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46226</v>
      </c>
      <c r="B26" s="70" t="str">
        <f t="shared" si="0"/>
        <v>czw</v>
      </c>
      <c r="C26" s="71"/>
      <c r="D26" s="71"/>
      <c r="E26" s="72" t="str">
        <f t="shared" si="1"/>
        <v/>
      </c>
      <c r="F26" s="67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46227</v>
      </c>
      <c r="B27" s="70" t="str">
        <f t="shared" si="0"/>
        <v>pt</v>
      </c>
      <c r="C27" s="71"/>
      <c r="D27" s="71"/>
      <c r="E27" s="72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46228</v>
      </c>
      <c r="B28" s="49" t="str">
        <f t="shared" si="0"/>
        <v>sob</v>
      </c>
      <c r="C28" s="48"/>
      <c r="D28" s="48"/>
      <c r="E28" s="51" t="str">
        <f t="shared" si="1"/>
        <v/>
      </c>
      <c r="F28" s="45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46229</v>
      </c>
      <c r="B29" s="49" t="str">
        <f t="shared" si="0"/>
        <v>niedz</v>
      </c>
      <c r="C29" s="48"/>
      <c r="D29" s="48"/>
      <c r="E29" s="51" t="str">
        <f t="shared" si="1"/>
        <v/>
      </c>
      <c r="F29" s="45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46230</v>
      </c>
      <c r="B30" s="70" t="str">
        <f t="shared" si="0"/>
        <v>pon</v>
      </c>
      <c r="C30" s="71"/>
      <c r="D30" s="71"/>
      <c r="E30" s="72" t="str">
        <f t="shared" si="1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46231</v>
      </c>
      <c r="B31" s="70" t="str">
        <f t="shared" si="0"/>
        <v>wt</v>
      </c>
      <c r="C31" s="71"/>
      <c r="D31" s="71"/>
      <c r="E31" s="72" t="str">
        <f t="shared" si="1"/>
        <v/>
      </c>
      <c r="F31" s="67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46232</v>
      </c>
      <c r="B32" s="70" t="str">
        <f t="shared" si="0"/>
        <v>śr</v>
      </c>
      <c r="C32" s="71"/>
      <c r="D32" s="71"/>
      <c r="E32" s="72" t="str">
        <f t="shared" si="1"/>
        <v/>
      </c>
      <c r="F32" s="6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46233</v>
      </c>
      <c r="B33" s="70" t="str">
        <f t="shared" si="0"/>
        <v>czw</v>
      </c>
      <c r="C33" s="71"/>
      <c r="D33" s="71"/>
      <c r="E33" s="72" t="str">
        <f t="shared" si="1"/>
        <v/>
      </c>
      <c r="F33" s="6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38" cm="1">
        <f t="array" ref="A34">DATE($A$3, MONTH($A$2&amp;1), ROW($A34:A34)-3)</f>
        <v>46234</v>
      </c>
      <c r="B34" s="70" t="str">
        <f t="shared" si="0"/>
        <v>pt</v>
      </c>
      <c r="C34" s="71"/>
      <c r="D34" s="71"/>
      <c r="E34" s="72" t="str">
        <f t="shared" si="1"/>
        <v/>
      </c>
      <c r="F34" s="67"/>
      <c r="G34" s="1" t="str">
        <f>IF('Styczeń 2026'!$B$51=1,IFERROR(IF(E34&lt;&gt;"",IF(AND(D34-C34&lt;1/3,B34&lt;&gt;"sob",B34&lt;&gt;"niedz"),"Niedogodziny","Nadgodziny"),""),""),"")</f>
        <v/>
      </c>
      <c r="H34" s="23" t="str">
        <f>IF('Styczeń 2026'!$B$51=1,IFERROR(IF(AND(E34&lt;&gt;"",OR(B34="sob",B34="niedz")),E34,IF(AND(E34&lt;&gt;"",1/3-E34&gt;0),1/3-E34,IF(AND(E34&lt;&gt;"",E34-1/3&gt;=0),E34-1/3,""))),""),"")</f>
        <v/>
      </c>
    </row>
    <row r="35" spans="1:8" x14ac:dyDescent="0.3">
      <c r="A35" s="28" t="s">
        <v>3</v>
      </c>
      <c r="B35" s="28" t="s">
        <v>7</v>
      </c>
      <c r="C35" s="124">
        <f>SUM(E4:E34)</f>
        <v>0</v>
      </c>
      <c r="D35" s="124"/>
      <c r="E35" s="124"/>
      <c r="F35" s="3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8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8" x14ac:dyDescent="0.3">
      <c r="A36" s="29" t="str">
        <f>IF(OR(ROUND(C35,2)=ROUND(B42*'Styczeń 2026'!$B$51,2),C35&gt;B42*'Styczeń 2026'!$B$51),"DO ODBIORU:","DO ZROBIENIA:")</f>
        <v>DO ZROBIENIA:</v>
      </c>
      <c r="B36" s="30" t="s">
        <v>7</v>
      </c>
      <c r="C36" s="125">
        <f>IF(B42*'Styczeń 2026'!B51-C35&lt;0,C35-B42*'Styczeń 2026'!B51,B42*'Styczeń 2026'!B51-C35)</f>
        <v>7.666666666666667</v>
      </c>
      <c r="D36" s="126"/>
      <c r="E36" s="127"/>
      <c r="F36" s="128"/>
    </row>
    <row r="37" spans="1:8" x14ac:dyDescent="0.3">
      <c r="A37" s="31" t="s">
        <v>4</v>
      </c>
      <c r="B37" s="32" t="s">
        <v>7</v>
      </c>
      <c r="C37" s="94">
        <f>COUNTIF(F:F,"urlop")/3*'Styczeń 2026'!B51</f>
        <v>0</v>
      </c>
      <c r="D37" s="95"/>
      <c r="E37" s="96"/>
      <c r="F37" s="128"/>
    </row>
    <row r="38" spans="1:8" x14ac:dyDescent="0.3">
      <c r="A38" s="33" t="str">
        <f>IF(OR(C36-C37&lt;=0,A36="DO ODBIORU:"),"POZOST. DO ODBIORU","POZOST. DO ZROBIENIA")</f>
        <v>POZOST. DO ZROBIENIA</v>
      </c>
      <c r="B38" s="135" t="s">
        <v>7</v>
      </c>
      <c r="C38" s="129">
        <f>IF(A36="DO ZROBIENIA:",IF(C37-C36&gt;0,C37-C36,C36-C37),C36+C37)</f>
        <v>7.666666666666667</v>
      </c>
      <c r="D38" s="130"/>
      <c r="E38" s="131"/>
      <c r="F38" s="128"/>
    </row>
    <row r="39" spans="1:8" x14ac:dyDescent="0.3">
      <c r="A39" s="60" t="s">
        <v>5</v>
      </c>
      <c r="B39" s="136"/>
      <c r="C39" s="132"/>
      <c r="D39" s="133"/>
      <c r="E39" s="134"/>
      <c r="F39" s="128"/>
    </row>
    <row r="40" spans="1:8" x14ac:dyDescent="0.3">
      <c r="A40" s="34"/>
      <c r="B40" s="34"/>
      <c r="C40" s="34"/>
      <c r="D40" s="34"/>
      <c r="E40" s="34"/>
      <c r="F40" s="34"/>
    </row>
    <row r="41" spans="1:8" x14ac:dyDescent="0.3">
      <c r="A41" s="34"/>
      <c r="B41" s="34"/>
      <c r="C41" s="34"/>
      <c r="D41" s="34"/>
      <c r="E41" s="34"/>
      <c r="F41" s="34"/>
    </row>
    <row r="42" spans="1:8" x14ac:dyDescent="0.3">
      <c r="A42" s="35" t="s">
        <v>6</v>
      </c>
      <c r="B42" s="58">
        <v>7.666666666666667</v>
      </c>
      <c r="C42" s="34"/>
      <c r="D42" s="34"/>
      <c r="E42" s="34"/>
      <c r="F42" s="34"/>
    </row>
    <row r="43" spans="1:8" ht="15" thickBot="1" x14ac:dyDescent="0.35">
      <c r="A43" s="34"/>
      <c r="B43" s="36"/>
      <c r="C43" s="34"/>
      <c r="D43" s="34"/>
      <c r="E43" s="34"/>
      <c r="F43" s="34"/>
    </row>
    <row r="44" spans="1:8" ht="15" thickBot="1" x14ac:dyDescent="0.35">
      <c r="A44" s="16" t="str">
        <f>IF('Styczeń 2026'!B51=1,
IF(AND('Czerwiec 2026'!A44="Nadgodziny "&amp;A3,A38="POZOST. DO ODBIORU"),"Nadgodziny "&amp;A3,
IF(AND('Czerwiec 2026'!A44="Niedogodziny "&amp;A3,A38="POZOST. DO ZROBIENIA"),"Niedogodziny "&amp;A3,
IF(AND('Czerwiec 2026'!A44="Nadgodziny "&amp;A3,A38="POZOST. DO ZROBIENIA"),
IF('Czerwiec 2026'!B44-C38&lt;0,"Niedogodziny "&amp;A3,"Nadgodziny "&amp;A3),
IF(AND('Czerwiec 2026'!A44="Niedogodziny "&amp;A3,A38="POZOST. DO ODBIORU"),
IF(C38-'Czerwiec 2026'!B44&lt;0,"Niedogodziny "&amp;A3,"Nadgodziny "&amp;A3),"błąd")))),
"Nadgodziny "&amp;A3)</f>
        <v>Niedogodziny 2026</v>
      </c>
      <c r="B44" s="59">
        <f>IF('Styczeń 2026'!B51=1,
IFERROR(
IF(AND('Czerwiec 2026'!A44="Nadgodziny "&amp;A3,A38="POZOST. DO ODBIORU"),'Czerwiec 2026'!B44+C38,
IF(AND('Czerwiec 2026'!A44="Niedogodziny "&amp;A3,A38="POZOST. DO ZROBIENIA"),'Czerwiec 2026'!B44+C38,
IF(AND('Czerwiec 2026'!A44="Nadgodziny "&amp;A3,A38="POZOST. DO ZROBIENIA",'Czerwiec 2026'!B44-C38&lt;=0),C38-'Czerwiec 2026'!B44,
IF(AND('Czerwiec 2026'!A44="Nadgodziny "&amp;A3,A38="POZOST. DO ZROBIENIA",C38-'Czerwiec 2026'!B44&lt;=0),'Czerwiec 2026'!B44-C38,
IF(AND('Czerwiec 2026'!A44="Niedogodziny "&amp;A3,A38="POZOST. DO ODBIORU",'Czerwiec 2026'!B44-C38&lt;=0),C38-'Czerwiec 2026'!B44,
IF(AND('Czerwiec 2026'!A44="Niedogodziny "&amp;A3,A38="POZOST. DO ODBIORU",C38-'Czerwiec 2026'!B44&lt;=0),'Czerwiec 2026'!B44-C38,"błąd")))))),
"błąd"),"-")</f>
        <v>49.999999999999993</v>
      </c>
      <c r="C44" s="34"/>
      <c r="D44" s="34"/>
      <c r="E44" s="34"/>
      <c r="F44" s="34"/>
    </row>
    <row r="45" spans="1:8" x14ac:dyDescent="0.3">
      <c r="A45" s="37"/>
      <c r="B45" s="34"/>
      <c r="C45" s="34"/>
      <c r="D45" s="34"/>
      <c r="E45" s="34"/>
      <c r="F45" s="34"/>
    </row>
    <row r="47" spans="1:8" x14ac:dyDescent="0.3">
      <c r="A47" s="20"/>
    </row>
    <row r="48" spans="1:8" x14ac:dyDescent="0.3">
      <c r="A48" s="20"/>
    </row>
  </sheetData>
  <mergeCells count="8">
    <mergeCell ref="A1:B1"/>
    <mergeCell ref="C1:F2"/>
    <mergeCell ref="C35:E35"/>
    <mergeCell ref="C36:E36"/>
    <mergeCell ref="F36:F39"/>
    <mergeCell ref="C37:E37"/>
    <mergeCell ref="C38:E39"/>
    <mergeCell ref="B38:B39"/>
  </mergeCells>
  <conditionalFormatting sqref="B44">
    <cfRule type="expression" dxfId="35" priority="5">
      <formula>$A$44="nadgodziny " &amp; $A$3</formula>
    </cfRule>
    <cfRule type="expression" dxfId="34" priority="6">
      <formula>$A$44="niedogodziny " &amp; $A$3</formula>
    </cfRule>
  </conditionalFormatting>
  <conditionalFormatting sqref="C38">
    <cfRule type="expression" dxfId="33" priority="3">
      <formula>$A$38="POZOST. DO ODBIORU"</formula>
    </cfRule>
    <cfRule type="expression" dxfId="32" priority="4">
      <formula>$A$38="POZOST. DO ZROBIENIA"</formula>
    </cfRule>
  </conditionalFormatting>
  <conditionalFormatting sqref="H35">
    <cfRule type="expression" dxfId="31" priority="1">
      <formula>$G$35="Nadgodziny (obecny m-c)"</formula>
    </cfRule>
    <cfRule type="expression" dxfId="30" priority="2">
      <formula>$G$35="Niedogodziny (obecny m-c)"</formula>
    </cfRule>
  </conditionalFormatting>
  <dataValidations count="1">
    <dataValidation type="list" allowBlank="1" showInputMessage="1" showErrorMessage="1" sqref="F4:F34" xr:uid="{00000000-0002-0000-0600-000000000000}">
      <formula1>"biuro,zdalnie,urlop"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H48"/>
  <sheetViews>
    <sheetView zoomScaleNormal="100" workbookViewId="0">
      <selection sqref="A1:B1"/>
    </sheetView>
  </sheetViews>
  <sheetFormatPr defaultColWidth="8.88671875" defaultRowHeight="14.4" x14ac:dyDescent="0.3"/>
  <cols>
    <col min="1" max="1" width="18.6640625" customWidth="1"/>
    <col min="2" max="2" width="13.33203125" customWidth="1"/>
    <col min="6" max="6" width="20.77734375" customWidth="1"/>
    <col min="7" max="7" width="25.6640625" customWidth="1"/>
    <col min="8" max="8" width="8.6640625" customWidth="1"/>
  </cols>
  <sheetData>
    <row r="1" spans="1:8" ht="15" customHeight="1" x14ac:dyDescent="0.3">
      <c r="A1" s="81" t="s">
        <v>24</v>
      </c>
      <c r="B1" s="82"/>
      <c r="C1" s="118" t="s">
        <v>14</v>
      </c>
      <c r="D1" s="119"/>
      <c r="E1" s="119"/>
      <c r="F1" s="120"/>
    </row>
    <row r="2" spans="1:8" ht="15" customHeight="1" x14ac:dyDescent="0.3">
      <c r="A2" s="25" t="s">
        <v>18</v>
      </c>
      <c r="B2" s="25" t="s">
        <v>7</v>
      </c>
      <c r="C2" s="121"/>
      <c r="D2" s="122"/>
      <c r="E2" s="122"/>
      <c r="F2" s="123"/>
    </row>
    <row r="3" spans="1:8" ht="27.6" x14ac:dyDescent="0.3">
      <c r="A3" s="6">
        <v>2026</v>
      </c>
      <c r="B3" s="26" t="s">
        <v>7</v>
      </c>
      <c r="C3" s="27" t="s">
        <v>0</v>
      </c>
      <c r="D3" s="27" t="s">
        <v>1</v>
      </c>
      <c r="E3" s="2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46235</v>
      </c>
      <c r="B4" s="49" t="str">
        <f t="shared" ref="B4:B34" si="0">TEXT(A4,"ddd")</f>
        <v>sob</v>
      </c>
      <c r="C4" s="48"/>
      <c r="D4" s="48"/>
      <c r="E4" s="51" t="str">
        <f t="shared" ref="E4:E34" si="1">IFERROR(IF(AND(C4&lt;&gt;"",D4&lt;&gt;"",D4-C4&gt;=0),D4-C4,""),"")</f>
        <v/>
      </c>
      <c r="F4" s="45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46236</v>
      </c>
      <c r="B5" s="49" t="str">
        <f t="shared" si="0"/>
        <v>niedz</v>
      </c>
      <c r="C5" s="48"/>
      <c r="D5" s="48"/>
      <c r="E5" s="51" t="str">
        <f t="shared" si="1"/>
        <v/>
      </c>
      <c r="F5" s="45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46237</v>
      </c>
      <c r="B6" s="70" t="str">
        <f t="shared" si="0"/>
        <v>pon</v>
      </c>
      <c r="C6" s="71"/>
      <c r="D6" s="71"/>
      <c r="E6" s="72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46238</v>
      </c>
      <c r="B7" s="70" t="str">
        <f t="shared" si="0"/>
        <v>wt</v>
      </c>
      <c r="C7" s="71"/>
      <c r="D7" s="71"/>
      <c r="E7" s="72" t="str">
        <f t="shared" si="1"/>
        <v/>
      </c>
      <c r="F7" s="67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46239</v>
      </c>
      <c r="B8" s="70" t="str">
        <f t="shared" si="0"/>
        <v>śr</v>
      </c>
      <c r="C8" s="71"/>
      <c r="D8" s="71"/>
      <c r="E8" s="72" t="str">
        <f t="shared" si="1"/>
        <v/>
      </c>
      <c r="F8" s="67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46240</v>
      </c>
      <c r="B9" s="70" t="str">
        <f t="shared" si="0"/>
        <v>czw</v>
      </c>
      <c r="C9" s="71"/>
      <c r="D9" s="71"/>
      <c r="E9" s="72" t="str">
        <f t="shared" si="1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46241</v>
      </c>
      <c r="B10" s="70" t="str">
        <f t="shared" si="0"/>
        <v>pt</v>
      </c>
      <c r="C10" s="71"/>
      <c r="D10" s="71"/>
      <c r="E10" s="72" t="str">
        <f t="shared" si="1"/>
        <v/>
      </c>
      <c r="F10" s="67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46242</v>
      </c>
      <c r="B11" s="49" t="str">
        <f t="shared" si="0"/>
        <v>sob</v>
      </c>
      <c r="C11" s="48"/>
      <c r="D11" s="48"/>
      <c r="E11" s="51" t="str">
        <f t="shared" si="1"/>
        <v/>
      </c>
      <c r="F11" s="45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46243</v>
      </c>
      <c r="B12" s="49" t="str">
        <f t="shared" si="0"/>
        <v>niedz</v>
      </c>
      <c r="C12" s="48"/>
      <c r="D12" s="48"/>
      <c r="E12" s="51" t="str">
        <f t="shared" si="1"/>
        <v/>
      </c>
      <c r="F12" s="45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46244</v>
      </c>
      <c r="B13" s="70" t="str">
        <f t="shared" si="0"/>
        <v>pon</v>
      </c>
      <c r="C13" s="71"/>
      <c r="D13" s="71"/>
      <c r="E13" s="72" t="str">
        <f t="shared" si="1"/>
        <v/>
      </c>
      <c r="F13" s="67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46245</v>
      </c>
      <c r="B14" s="70" t="str">
        <f t="shared" si="0"/>
        <v>wt</v>
      </c>
      <c r="C14" s="71"/>
      <c r="D14" s="71"/>
      <c r="E14" s="72" t="str">
        <f t="shared" si="1"/>
        <v/>
      </c>
      <c r="F14" s="67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46246</v>
      </c>
      <c r="B15" s="70" t="str">
        <f t="shared" si="0"/>
        <v>śr</v>
      </c>
      <c r="C15" s="71"/>
      <c r="D15" s="71"/>
      <c r="E15" s="72" t="str">
        <f t="shared" si="1"/>
        <v/>
      </c>
      <c r="F15" s="67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46247</v>
      </c>
      <c r="B16" s="70" t="str">
        <f t="shared" si="0"/>
        <v>czw</v>
      </c>
      <c r="C16" s="71"/>
      <c r="D16" s="71"/>
      <c r="E16" s="72" t="str">
        <f t="shared" si="1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46248</v>
      </c>
      <c r="B17" s="70" t="str">
        <f t="shared" si="0"/>
        <v>pt</v>
      </c>
      <c r="C17" s="71"/>
      <c r="D17" s="71"/>
      <c r="E17" s="72" t="str">
        <f t="shared" si="1"/>
        <v/>
      </c>
      <c r="F17" s="67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46249</v>
      </c>
      <c r="B18" s="49" t="str">
        <f t="shared" si="0"/>
        <v>sob</v>
      </c>
      <c r="C18" s="48"/>
      <c r="D18" s="48"/>
      <c r="E18" s="51" t="str">
        <f t="shared" si="1"/>
        <v/>
      </c>
      <c r="F18" s="62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46250</v>
      </c>
      <c r="B19" s="49" t="str">
        <f t="shared" si="0"/>
        <v>niedz</v>
      </c>
      <c r="C19" s="51"/>
      <c r="D19" s="51"/>
      <c r="E19" s="51" t="str">
        <f t="shared" si="1"/>
        <v/>
      </c>
      <c r="F19" s="45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46251</v>
      </c>
      <c r="B20" s="70" t="str">
        <f t="shared" si="0"/>
        <v>pon</v>
      </c>
      <c r="C20" s="71"/>
      <c r="D20" s="71"/>
      <c r="E20" s="72" t="str">
        <f t="shared" si="1"/>
        <v/>
      </c>
      <c r="F20" s="67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46252</v>
      </c>
      <c r="B21" s="70" t="str">
        <f t="shared" si="0"/>
        <v>wt</v>
      </c>
      <c r="C21" s="71"/>
      <c r="D21" s="71"/>
      <c r="E21" s="72" t="str">
        <f t="shared" si="1"/>
        <v/>
      </c>
      <c r="F21" s="67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46253</v>
      </c>
      <c r="B22" s="70" t="str">
        <f t="shared" si="0"/>
        <v>śr</v>
      </c>
      <c r="C22" s="71"/>
      <c r="D22" s="71"/>
      <c r="E22" s="72" t="str">
        <f t="shared" si="1"/>
        <v/>
      </c>
      <c r="F22" s="67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46254</v>
      </c>
      <c r="B23" s="70" t="str">
        <f t="shared" si="0"/>
        <v>czw</v>
      </c>
      <c r="C23" s="71"/>
      <c r="D23" s="71"/>
      <c r="E23" s="72" t="str">
        <f t="shared" si="1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46255</v>
      </c>
      <c r="B24" s="70" t="str">
        <f t="shared" si="0"/>
        <v>pt</v>
      </c>
      <c r="C24" s="71"/>
      <c r="D24" s="71"/>
      <c r="E24" s="72" t="str">
        <f t="shared" si="1"/>
        <v/>
      </c>
      <c r="F24" s="67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46256</v>
      </c>
      <c r="B25" s="49" t="str">
        <f t="shared" si="0"/>
        <v>sob</v>
      </c>
      <c r="C25" s="48"/>
      <c r="D25" s="48"/>
      <c r="E25" s="51" t="str">
        <f t="shared" si="1"/>
        <v/>
      </c>
      <c r="F25" s="45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46257</v>
      </c>
      <c r="B26" s="49" t="str">
        <f t="shared" si="0"/>
        <v>niedz</v>
      </c>
      <c r="C26" s="48"/>
      <c r="D26" s="48"/>
      <c r="E26" s="51" t="str">
        <f t="shared" si="1"/>
        <v/>
      </c>
      <c r="F26" s="45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46258</v>
      </c>
      <c r="B27" s="70" t="str">
        <f t="shared" si="0"/>
        <v>pon</v>
      </c>
      <c r="C27" s="71"/>
      <c r="D27" s="71"/>
      <c r="E27" s="72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46259</v>
      </c>
      <c r="B28" s="70" t="str">
        <f t="shared" si="0"/>
        <v>wt</v>
      </c>
      <c r="C28" s="71"/>
      <c r="D28" s="71"/>
      <c r="E28" s="72" t="str">
        <f t="shared" si="1"/>
        <v/>
      </c>
      <c r="F28" s="67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46260</v>
      </c>
      <c r="B29" s="70" t="str">
        <f t="shared" si="0"/>
        <v>śr</v>
      </c>
      <c r="C29" s="71"/>
      <c r="D29" s="71"/>
      <c r="E29" s="72" t="str">
        <f t="shared" si="1"/>
        <v/>
      </c>
      <c r="F29" s="67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46261</v>
      </c>
      <c r="B30" s="70" t="str">
        <f t="shared" si="0"/>
        <v>czw</v>
      </c>
      <c r="C30" s="71"/>
      <c r="D30" s="71"/>
      <c r="E30" s="72" t="str">
        <f t="shared" si="1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46262</v>
      </c>
      <c r="B31" s="70" t="str">
        <f t="shared" si="0"/>
        <v>pt</v>
      </c>
      <c r="C31" s="71"/>
      <c r="D31" s="71"/>
      <c r="E31" s="72" t="str">
        <f t="shared" si="1"/>
        <v/>
      </c>
      <c r="F31" s="68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46263</v>
      </c>
      <c r="B32" s="49" t="str">
        <f t="shared" si="0"/>
        <v>sob</v>
      </c>
      <c r="C32" s="48"/>
      <c r="D32" s="48"/>
      <c r="E32" s="51" t="str">
        <f t="shared" si="1"/>
        <v/>
      </c>
      <c r="F32" s="4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46264</v>
      </c>
      <c r="B33" s="49" t="str">
        <f t="shared" si="0"/>
        <v>niedz</v>
      </c>
      <c r="C33" s="48"/>
      <c r="D33" s="48"/>
      <c r="E33" s="51" t="str">
        <f t="shared" si="1"/>
        <v/>
      </c>
      <c r="F33" s="4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38" cm="1">
        <f t="array" ref="A34">DATE($A$3, MONTH($A$2&amp;1), ROW($A34:A34)-3)</f>
        <v>46265</v>
      </c>
      <c r="B34" s="70" t="str">
        <f t="shared" si="0"/>
        <v>pon</v>
      </c>
      <c r="C34" s="71"/>
      <c r="D34" s="71"/>
      <c r="E34" s="72" t="str">
        <f t="shared" si="1"/>
        <v/>
      </c>
      <c r="F34" s="67"/>
      <c r="G34" s="1" t="str">
        <f>IF('Styczeń 2026'!$B$51=1,IFERROR(IF(E34&lt;&gt;"",IF(AND(D34-C34&lt;1/3,B34&lt;&gt;"sob",B34&lt;&gt;"niedz"),"Niedogodziny","Nadgodziny"),""),""),"")</f>
        <v/>
      </c>
      <c r="H34" s="23" t="str">
        <f>IF('Styczeń 2026'!$B$51=1,IFERROR(IF(AND(E34&lt;&gt;"",OR(B34="sob",B34="niedz")),E34,IF(AND(E34&lt;&gt;"",1/3-E34&gt;0),1/3-E34,IF(AND(E34&lt;&gt;"",E34-1/3&gt;=0),E34-1/3,""))),""),"")</f>
        <v/>
      </c>
    </row>
    <row r="35" spans="1:8" x14ac:dyDescent="0.3">
      <c r="A35" s="28" t="s">
        <v>3</v>
      </c>
      <c r="B35" s="28" t="s">
        <v>7</v>
      </c>
      <c r="C35" s="124">
        <f>SUM(E4:E34)</f>
        <v>0</v>
      </c>
      <c r="D35" s="124"/>
      <c r="E35" s="124"/>
      <c r="F35" s="3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8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8" x14ac:dyDescent="0.3">
      <c r="A36" s="29" t="str">
        <f>IF(OR(ROUND(C35,2)=ROUND(B42*'Styczeń 2026'!$B$51,2),C35&gt;B42*'Styczeń 2026'!$B$51),"DO ODBIORU:","DO ZROBIENIA:")</f>
        <v>DO ZROBIENIA:</v>
      </c>
      <c r="B36" s="30" t="s">
        <v>7</v>
      </c>
      <c r="C36" s="125">
        <f>IF(B42*'Styczeń 2026'!B51-C35&lt;0,C35-B42*'Styczeń 2026'!B51,B42*'Styczeń 2026'!B51-C35)</f>
        <v>7</v>
      </c>
      <c r="D36" s="126"/>
      <c r="E36" s="127"/>
      <c r="F36" s="128"/>
    </row>
    <row r="37" spans="1:8" x14ac:dyDescent="0.3">
      <c r="A37" s="31" t="s">
        <v>4</v>
      </c>
      <c r="B37" s="32" t="s">
        <v>7</v>
      </c>
      <c r="C37" s="94">
        <f>COUNTIF(F:F,"urlop")/3*'Styczeń 2026'!B51</f>
        <v>0</v>
      </c>
      <c r="D37" s="95"/>
      <c r="E37" s="96"/>
      <c r="F37" s="128"/>
    </row>
    <row r="38" spans="1:8" x14ac:dyDescent="0.3">
      <c r="A38" s="33" t="str">
        <f>IF(OR(C36-C37&lt;=0,A36="DO ODBIORU:"),"POZOST. DO ODBIORU","POZOST. DO ZROBIENIA")</f>
        <v>POZOST. DO ZROBIENIA</v>
      </c>
      <c r="B38" s="135" t="s">
        <v>7</v>
      </c>
      <c r="C38" s="129">
        <f>IF(A36="DO ZROBIENIA:",IF(C37-C36&gt;0,C37-C36,C36-C37),C36+C37)</f>
        <v>7</v>
      </c>
      <c r="D38" s="130"/>
      <c r="E38" s="131"/>
      <c r="F38" s="128"/>
    </row>
    <row r="39" spans="1:8" x14ac:dyDescent="0.3">
      <c r="A39" s="60" t="s">
        <v>5</v>
      </c>
      <c r="B39" s="136"/>
      <c r="C39" s="132"/>
      <c r="D39" s="133"/>
      <c r="E39" s="134"/>
      <c r="F39" s="128"/>
    </row>
    <row r="40" spans="1:8" x14ac:dyDescent="0.3">
      <c r="A40" s="34"/>
      <c r="B40" s="34"/>
      <c r="C40" s="34"/>
      <c r="D40" s="34"/>
      <c r="E40" s="34"/>
      <c r="F40" s="34"/>
    </row>
    <row r="41" spans="1:8" x14ac:dyDescent="0.3">
      <c r="A41" s="34"/>
      <c r="B41" s="34"/>
      <c r="C41" s="34"/>
      <c r="D41" s="34"/>
      <c r="E41" s="34"/>
      <c r="F41" s="34"/>
    </row>
    <row r="42" spans="1:8" x14ac:dyDescent="0.3">
      <c r="A42" s="35" t="s">
        <v>6</v>
      </c>
      <c r="B42" s="58">
        <v>7</v>
      </c>
      <c r="C42" s="34"/>
      <c r="D42" s="34"/>
      <c r="E42" s="34"/>
      <c r="F42" s="34"/>
    </row>
    <row r="43" spans="1:8" ht="15" thickBot="1" x14ac:dyDescent="0.35">
      <c r="A43" s="34"/>
      <c r="B43" s="36"/>
      <c r="C43" s="34"/>
      <c r="D43" s="34"/>
      <c r="E43" s="34"/>
      <c r="F43" s="34"/>
    </row>
    <row r="44" spans="1:8" ht="15" thickBot="1" x14ac:dyDescent="0.35">
      <c r="A44" s="16" t="str">
        <f>IF('Styczeń 2026'!B51=1,
IF(AND('Lipiec 2026'!A44="Nadgodziny "&amp;A3,A38="POZOST. DO ODBIORU"),"Nadgodziny "&amp;A3,
IF(AND('Lipiec 2026'!A44="Niedogodziny "&amp;A3,A38="POZOST. DO ZROBIENIA"),"Niedogodziny "&amp;A3,
IF(AND('Lipiec 2026'!A44="Nadgodziny "&amp;A3,A38="POZOST. DO ZROBIENIA"),
IF('Lipiec 2026'!B44-C38&lt;0,"Niedogodziny "&amp;A3,"Nadgodziny "&amp;A3),
IF(AND('Lipiec 2026'!A44="Niedogodziny "&amp;A3,A38="POZOST. DO ODBIORU"),
IF(C38-'Lipiec 2026'!B44&lt;0,"Niedogodziny "&amp;A3,"Nadgodziny "&amp;A3),"błąd")))),
"Nadgodziny "&amp;A3)</f>
        <v>Niedogodziny 2026</v>
      </c>
      <c r="B44" s="59">
        <f>IF('Styczeń 2026'!B51=1,
IFERROR(
IF(AND('Lipiec 2026'!A44="Nadgodziny "&amp;A3,A38="POZOST. DO ODBIORU"),'Lipiec 2026'!B44+C38,
IF(AND('Lipiec 2026'!A44="Niedogodziny "&amp;A3,A38="POZOST. DO ZROBIENIA"),'Lipiec 2026'!B44+C38,
IF(AND('Lipiec 2026'!A44="Nadgodziny "&amp;A3,A38="POZOST. DO ZROBIENIA",'Lipiec 2026'!B44-C38&lt;=0),C38-'Lipiec 2026'!B44,
IF(AND('Lipiec 2026'!A44="Nadgodziny "&amp;A3,A38="POZOST. DO ZROBIENIA",C38-'Lipiec 2026'!B44&lt;=0),'Lipiec 2026'!B44-C38,
IF(AND('Lipiec 2026'!A44="Niedogodziny "&amp;A3,A38="POZOST. DO ODBIORU",'Lipiec 2026'!B44-C38&lt;=0),C38-'Lipiec 2026'!B44,
IF(AND('Lipiec 2026'!A44="Niedogodziny "&amp;A3,A38="POZOST. DO ODBIORU",C38-'Lipiec 2026'!B44&lt;=0),'Lipiec 2026'!B44-C38,"błąd")))))),
"błąd"),"-")</f>
        <v>56.999999999999993</v>
      </c>
      <c r="C44" s="34"/>
      <c r="D44" s="34"/>
      <c r="E44" s="34"/>
      <c r="F44" s="34"/>
    </row>
    <row r="45" spans="1:8" x14ac:dyDescent="0.3">
      <c r="A45" s="37"/>
      <c r="B45" s="34"/>
      <c r="C45" s="34"/>
      <c r="D45" s="34"/>
      <c r="E45" s="34"/>
      <c r="F45" s="34"/>
    </row>
    <row r="47" spans="1:8" x14ac:dyDescent="0.3">
      <c r="A47" s="20"/>
    </row>
    <row r="48" spans="1:8" x14ac:dyDescent="0.3">
      <c r="A48" s="20"/>
    </row>
  </sheetData>
  <mergeCells count="8">
    <mergeCell ref="A1:B1"/>
    <mergeCell ref="C1:F2"/>
    <mergeCell ref="C35:E35"/>
    <mergeCell ref="C36:E36"/>
    <mergeCell ref="F36:F39"/>
    <mergeCell ref="C37:E37"/>
    <mergeCell ref="C38:E39"/>
    <mergeCell ref="B38:B39"/>
  </mergeCells>
  <conditionalFormatting sqref="B44">
    <cfRule type="expression" dxfId="29" priority="5">
      <formula>$A$44="nadgodziny " &amp; $A$3</formula>
    </cfRule>
    <cfRule type="expression" dxfId="28" priority="6">
      <formula>$A$44="niedogodziny " &amp; $A$3</formula>
    </cfRule>
  </conditionalFormatting>
  <conditionalFormatting sqref="C38">
    <cfRule type="expression" dxfId="27" priority="3">
      <formula>$A$38="POZOST. DO ODBIORU"</formula>
    </cfRule>
    <cfRule type="expression" dxfId="26" priority="4">
      <formula>$A$38="POZOST. DO ZROBIENIA"</formula>
    </cfRule>
  </conditionalFormatting>
  <conditionalFormatting sqref="H35">
    <cfRule type="expression" dxfId="25" priority="1">
      <formula>$G$35="Nadgodziny (obecny m-c)"</formula>
    </cfRule>
    <cfRule type="expression" dxfId="24" priority="2">
      <formula>$G$35="Niedogodziny (obecny m-c)"</formula>
    </cfRule>
  </conditionalFormatting>
  <dataValidations count="1">
    <dataValidation type="list" allowBlank="1" showInputMessage="1" showErrorMessage="1" sqref="F4:F34" xr:uid="{00000000-0002-0000-0700-000000000000}">
      <formula1>"biuro,zdalnie,urlop"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H47"/>
  <sheetViews>
    <sheetView workbookViewId="0">
      <selection sqref="A1:B1"/>
    </sheetView>
  </sheetViews>
  <sheetFormatPr defaultColWidth="8.88671875" defaultRowHeight="14.4" x14ac:dyDescent="0.3"/>
  <cols>
    <col min="1" max="1" width="18.6640625" customWidth="1"/>
    <col min="2" max="2" width="13.33203125" customWidth="1"/>
    <col min="6" max="6" width="20.77734375" customWidth="1"/>
    <col min="7" max="7" width="25.6640625" customWidth="1"/>
    <col min="8" max="8" width="8.6640625" customWidth="1"/>
  </cols>
  <sheetData>
    <row r="1" spans="1:8" ht="15" customHeight="1" x14ac:dyDescent="0.3">
      <c r="A1" s="81" t="s">
        <v>24</v>
      </c>
      <c r="B1" s="82"/>
      <c r="C1" s="118" t="s">
        <v>14</v>
      </c>
      <c r="D1" s="119"/>
      <c r="E1" s="119"/>
      <c r="F1" s="120"/>
    </row>
    <row r="2" spans="1:8" ht="15" customHeight="1" x14ac:dyDescent="0.3">
      <c r="A2" s="25" t="s">
        <v>19</v>
      </c>
      <c r="B2" s="25" t="s">
        <v>7</v>
      </c>
      <c r="C2" s="121"/>
      <c r="D2" s="122"/>
      <c r="E2" s="122"/>
      <c r="F2" s="123"/>
    </row>
    <row r="3" spans="1:8" ht="27.6" x14ac:dyDescent="0.3">
      <c r="A3" s="6">
        <v>2026</v>
      </c>
      <c r="B3" s="26" t="s">
        <v>7</v>
      </c>
      <c r="C3" s="27" t="s">
        <v>0</v>
      </c>
      <c r="D3" s="27" t="s">
        <v>1</v>
      </c>
      <c r="E3" s="2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46266</v>
      </c>
      <c r="B4" s="70" t="str">
        <f t="shared" ref="B4:B33" si="0">TEXT(A4,"ddd")</f>
        <v>wt</v>
      </c>
      <c r="C4" s="71"/>
      <c r="D4" s="71"/>
      <c r="E4" s="72" t="str">
        <f t="shared" ref="E4:E33" si="1">IFERROR(IF(AND(C4&lt;&gt;"",D4&lt;&gt;"",D4-C4&gt;=0),D4-C4,""),"")</f>
        <v/>
      </c>
      <c r="F4" s="67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46267</v>
      </c>
      <c r="B5" s="70" t="str">
        <f t="shared" si="0"/>
        <v>śr</v>
      </c>
      <c r="C5" s="71"/>
      <c r="D5" s="71"/>
      <c r="E5" s="72" t="str">
        <f t="shared" si="1"/>
        <v/>
      </c>
      <c r="F5" s="68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46268</v>
      </c>
      <c r="B6" s="70" t="str">
        <f t="shared" si="0"/>
        <v>czw</v>
      </c>
      <c r="C6" s="71"/>
      <c r="D6" s="71"/>
      <c r="E6" s="72" t="str">
        <f t="shared" si="1"/>
        <v/>
      </c>
      <c r="F6" s="68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46269</v>
      </c>
      <c r="B7" s="70" t="str">
        <f t="shared" si="0"/>
        <v>pt</v>
      </c>
      <c r="C7" s="71"/>
      <c r="D7" s="71"/>
      <c r="E7" s="72" t="str">
        <f t="shared" si="1"/>
        <v/>
      </c>
      <c r="F7" s="68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46270</v>
      </c>
      <c r="B8" s="49" t="str">
        <f t="shared" si="0"/>
        <v>sob</v>
      </c>
      <c r="C8" s="48"/>
      <c r="D8" s="48"/>
      <c r="E8" s="51" t="str">
        <f t="shared" si="1"/>
        <v/>
      </c>
      <c r="F8" s="47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46271</v>
      </c>
      <c r="B9" s="49" t="str">
        <f t="shared" si="0"/>
        <v>niedz</v>
      </c>
      <c r="C9" s="48"/>
      <c r="D9" s="48"/>
      <c r="E9" s="51" t="str">
        <f t="shared" si="1"/>
        <v/>
      </c>
      <c r="F9" s="4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46272</v>
      </c>
      <c r="B10" s="70" t="str">
        <f t="shared" si="0"/>
        <v>pon</v>
      </c>
      <c r="C10" s="71"/>
      <c r="D10" s="71"/>
      <c r="E10" s="72" t="str">
        <f t="shared" si="1"/>
        <v/>
      </c>
      <c r="F10" s="67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46273</v>
      </c>
      <c r="B11" s="70" t="str">
        <f t="shared" si="0"/>
        <v>wt</v>
      </c>
      <c r="C11" s="71"/>
      <c r="D11" s="71"/>
      <c r="E11" s="72" t="str">
        <f t="shared" si="1"/>
        <v/>
      </c>
      <c r="F11" s="67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46274</v>
      </c>
      <c r="B12" s="70" t="str">
        <f t="shared" si="0"/>
        <v>śr</v>
      </c>
      <c r="C12" s="71"/>
      <c r="D12" s="71"/>
      <c r="E12" s="72" t="str">
        <f t="shared" si="1"/>
        <v/>
      </c>
      <c r="F12" s="68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46275</v>
      </c>
      <c r="B13" s="70" t="str">
        <f t="shared" si="0"/>
        <v>czw</v>
      </c>
      <c r="C13" s="71"/>
      <c r="D13" s="71"/>
      <c r="E13" s="72" t="str">
        <f t="shared" si="1"/>
        <v/>
      </c>
      <c r="F13" s="68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46276</v>
      </c>
      <c r="B14" s="70" t="str">
        <f t="shared" si="0"/>
        <v>pt</v>
      </c>
      <c r="C14" s="71"/>
      <c r="D14" s="71"/>
      <c r="E14" s="72" t="str">
        <f t="shared" si="1"/>
        <v/>
      </c>
      <c r="F14" s="68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46277</v>
      </c>
      <c r="B15" s="49" t="str">
        <f t="shared" si="0"/>
        <v>sob</v>
      </c>
      <c r="C15" s="48"/>
      <c r="D15" s="48"/>
      <c r="E15" s="51" t="str">
        <f t="shared" si="1"/>
        <v/>
      </c>
      <c r="F15" s="47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46278</v>
      </c>
      <c r="B16" s="49" t="str">
        <f t="shared" si="0"/>
        <v>niedz</v>
      </c>
      <c r="C16" s="48"/>
      <c r="D16" s="48"/>
      <c r="E16" s="51" t="str">
        <f t="shared" si="1"/>
        <v/>
      </c>
      <c r="F16" s="4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46279</v>
      </c>
      <c r="B17" s="70" t="str">
        <f t="shared" si="0"/>
        <v>pon</v>
      </c>
      <c r="C17" s="71"/>
      <c r="D17" s="71"/>
      <c r="E17" s="72" t="str">
        <f t="shared" si="1"/>
        <v/>
      </c>
      <c r="F17" s="67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46280</v>
      </c>
      <c r="B18" s="70" t="str">
        <f t="shared" si="0"/>
        <v>wt</v>
      </c>
      <c r="C18" s="71"/>
      <c r="D18" s="71"/>
      <c r="E18" s="72" t="str">
        <f t="shared" si="1"/>
        <v/>
      </c>
      <c r="F18" s="67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46281</v>
      </c>
      <c r="B19" s="70" t="str">
        <f t="shared" si="0"/>
        <v>śr</v>
      </c>
      <c r="C19" s="71"/>
      <c r="D19" s="71"/>
      <c r="E19" s="72" t="str">
        <f t="shared" si="1"/>
        <v/>
      </c>
      <c r="F19" s="68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46282</v>
      </c>
      <c r="B20" s="70" t="str">
        <f t="shared" si="0"/>
        <v>czw</v>
      </c>
      <c r="C20" s="71"/>
      <c r="D20" s="71"/>
      <c r="E20" s="72" t="str">
        <f t="shared" si="1"/>
        <v/>
      </c>
      <c r="F20" s="68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46283</v>
      </c>
      <c r="B21" s="70" t="str">
        <f t="shared" si="0"/>
        <v>pt</v>
      </c>
      <c r="C21" s="71"/>
      <c r="D21" s="71"/>
      <c r="E21" s="72" t="str">
        <f t="shared" si="1"/>
        <v/>
      </c>
      <c r="F21" s="68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46284</v>
      </c>
      <c r="B22" s="49" t="str">
        <f t="shared" si="0"/>
        <v>sob</v>
      </c>
      <c r="C22" s="48"/>
      <c r="D22" s="48"/>
      <c r="E22" s="51" t="str">
        <f t="shared" si="1"/>
        <v/>
      </c>
      <c r="F22" s="47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46285</v>
      </c>
      <c r="B23" s="49" t="str">
        <f t="shared" si="0"/>
        <v>niedz</v>
      </c>
      <c r="C23" s="48"/>
      <c r="D23" s="48"/>
      <c r="E23" s="51" t="str">
        <f t="shared" si="1"/>
        <v/>
      </c>
      <c r="F23" s="4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46286</v>
      </c>
      <c r="B24" s="70" t="str">
        <f t="shared" si="0"/>
        <v>pon</v>
      </c>
      <c r="C24" s="71"/>
      <c r="D24" s="71"/>
      <c r="E24" s="72" t="str">
        <f t="shared" si="1"/>
        <v/>
      </c>
      <c r="F24" s="67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46287</v>
      </c>
      <c r="B25" s="70" t="str">
        <f t="shared" si="0"/>
        <v>wt</v>
      </c>
      <c r="C25" s="71"/>
      <c r="D25" s="71"/>
      <c r="E25" s="72" t="str">
        <f t="shared" si="1"/>
        <v/>
      </c>
      <c r="F25" s="67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46288</v>
      </c>
      <c r="B26" s="70" t="str">
        <f t="shared" si="0"/>
        <v>śr</v>
      </c>
      <c r="C26" s="71"/>
      <c r="D26" s="71"/>
      <c r="E26" s="72" t="str">
        <f t="shared" si="1"/>
        <v/>
      </c>
      <c r="F26" s="68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46289</v>
      </c>
      <c r="B27" s="70" t="str">
        <f t="shared" si="0"/>
        <v>czw</v>
      </c>
      <c r="C27" s="71"/>
      <c r="D27" s="71"/>
      <c r="E27" s="72" t="str">
        <f t="shared" si="1"/>
        <v/>
      </c>
      <c r="F27" s="68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46290</v>
      </c>
      <c r="B28" s="70" t="str">
        <f t="shared" si="0"/>
        <v>pt</v>
      </c>
      <c r="C28" s="71"/>
      <c r="D28" s="71"/>
      <c r="E28" s="72" t="str">
        <f t="shared" si="1"/>
        <v/>
      </c>
      <c r="F28" s="68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46291</v>
      </c>
      <c r="B29" s="49" t="str">
        <f t="shared" si="0"/>
        <v>sob</v>
      </c>
      <c r="C29" s="48"/>
      <c r="D29" s="48"/>
      <c r="E29" s="51" t="str">
        <f t="shared" si="1"/>
        <v/>
      </c>
      <c r="F29" s="47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46292</v>
      </c>
      <c r="B30" s="49" t="str">
        <f t="shared" si="0"/>
        <v>niedz</v>
      </c>
      <c r="C30" s="48"/>
      <c r="D30" s="48"/>
      <c r="E30" s="51" t="str">
        <f t="shared" si="1"/>
        <v/>
      </c>
      <c r="F30" s="4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46293</v>
      </c>
      <c r="B31" s="70" t="str">
        <f t="shared" si="0"/>
        <v>pon</v>
      </c>
      <c r="C31" s="71"/>
      <c r="D31" s="71"/>
      <c r="E31" s="72" t="str">
        <f t="shared" si="1"/>
        <v/>
      </c>
      <c r="F31" s="67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46294</v>
      </c>
      <c r="B32" s="70" t="str">
        <f t="shared" si="0"/>
        <v>wt</v>
      </c>
      <c r="C32" s="71"/>
      <c r="D32" s="71"/>
      <c r="E32" s="72" t="str">
        <f t="shared" si="1"/>
        <v/>
      </c>
      <c r="F32" s="6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46295</v>
      </c>
      <c r="B33" s="70" t="str">
        <f t="shared" si="0"/>
        <v>śr</v>
      </c>
      <c r="C33" s="71"/>
      <c r="D33" s="71"/>
      <c r="E33" s="72" t="str">
        <f t="shared" si="1"/>
        <v/>
      </c>
      <c r="F33" s="68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28" t="s">
        <v>3</v>
      </c>
      <c r="B34" s="28" t="s">
        <v>7</v>
      </c>
      <c r="C34" s="124">
        <f>SUM(E4:E34)</f>
        <v>0</v>
      </c>
      <c r="D34" s="124"/>
      <c r="E34" s="124"/>
      <c r="F34" s="3" t="s">
        <v>7</v>
      </c>
      <c r="G34" s="4" t="str">
        <f>IF(SUMIF(G4:G33,"Nadgodziny",H4:H33) - SUMIF(G4:G33,"Niedogodziny",H4:H33) &gt;= 0,"Nadgodziny (obecny m-c)", "Niedogodziny (obecny m-c)")</f>
        <v>Nadgodziny (obecny m-c)</v>
      </c>
      <c r="H34" s="58">
        <f>IF(SUMIF(G4:G33,"Nadgodziny",H4:H33) - SUMIF(G4:G33,"Niedogodziny",H4:H33) &gt; 0,SUMIF(G4:G33,"Nadgodziny",H4:H33) - SUMIF(G4:G33,"Niedogodziny",H4:H33), SUMIF(G4:G33,"Niedogodziny",H4:H33) - SUMIF(G4:G33,"Nadgodziny",H4:H33))</f>
        <v>0</v>
      </c>
    </row>
    <row r="35" spans="1:8" x14ac:dyDescent="0.3">
      <c r="A35" s="29" t="str">
        <f>IF(OR(ROUND(C34,2)=ROUND(B42*'Styczeń 2026'!$B$51,2),C34&gt;B42*'Styczeń 2026'!$B$51),"DO ODBIORU:","DO ZROBIENIA:")</f>
        <v>DO ZROBIENIA:</v>
      </c>
      <c r="B35" s="30" t="s">
        <v>7</v>
      </c>
      <c r="C35" s="125">
        <f>IF(B42*'Styczeń 2026'!B51-C34&lt;0,C34-B42*'Styczeń 2026'!B51,B42*'Styczeń 2026'!B51-C34)</f>
        <v>7.333333333333333</v>
      </c>
      <c r="D35" s="126"/>
      <c r="E35" s="127"/>
      <c r="F35" s="128"/>
    </row>
    <row r="36" spans="1:8" x14ac:dyDescent="0.3">
      <c r="A36" s="31" t="s">
        <v>4</v>
      </c>
      <c r="B36" s="32" t="s">
        <v>7</v>
      </c>
      <c r="C36" s="94">
        <f>COUNTIF(F:F,"urlop")/3*'Styczeń 2026'!B51</f>
        <v>0</v>
      </c>
      <c r="D36" s="95"/>
      <c r="E36" s="96"/>
      <c r="F36" s="128"/>
    </row>
    <row r="37" spans="1:8" x14ac:dyDescent="0.3">
      <c r="A37" s="33" t="str">
        <f>IF(OR(C35-C36&lt;=0,A35="DO ODBIORU:"),"POZOST. DO ODBIORU","POZOST. DO ZROBIENIA")</f>
        <v>POZOST. DO ZROBIENIA</v>
      </c>
      <c r="B37" s="135" t="s">
        <v>7</v>
      </c>
      <c r="C37" s="129">
        <f>IF(A35="DO ZROBIENIA:",IF(C36-C35&gt;0,C36-C35,C35-C36),C35+C36)</f>
        <v>7.333333333333333</v>
      </c>
      <c r="D37" s="130"/>
      <c r="E37" s="131"/>
      <c r="F37" s="128"/>
    </row>
    <row r="38" spans="1:8" x14ac:dyDescent="0.3">
      <c r="A38" s="60" t="s">
        <v>5</v>
      </c>
      <c r="B38" s="136"/>
      <c r="C38" s="132"/>
      <c r="D38" s="133"/>
      <c r="E38" s="134"/>
      <c r="F38" s="128"/>
    </row>
    <row r="39" spans="1:8" x14ac:dyDescent="0.3">
      <c r="A39" s="34"/>
      <c r="B39" s="34"/>
      <c r="C39" s="34"/>
      <c r="D39" s="34"/>
      <c r="E39" s="34"/>
      <c r="F39" s="34"/>
    </row>
    <row r="40" spans="1:8" x14ac:dyDescent="0.3">
      <c r="A40" s="34"/>
      <c r="B40" s="34"/>
      <c r="C40" s="34"/>
      <c r="D40" s="34"/>
      <c r="E40" s="34"/>
      <c r="F40" s="34"/>
    </row>
    <row r="41" spans="1:8" x14ac:dyDescent="0.3">
      <c r="C41" s="34"/>
      <c r="D41" s="34"/>
      <c r="E41" s="34"/>
      <c r="F41" s="34"/>
    </row>
    <row r="42" spans="1:8" x14ac:dyDescent="0.3">
      <c r="A42" s="35" t="s">
        <v>6</v>
      </c>
      <c r="B42" s="58">
        <v>7.333333333333333</v>
      </c>
      <c r="C42" s="34"/>
      <c r="D42" s="34"/>
      <c r="E42" s="34"/>
      <c r="F42" s="34"/>
    </row>
    <row r="43" spans="1:8" ht="15" thickBot="1" x14ac:dyDescent="0.35">
      <c r="A43" s="34"/>
      <c r="B43" s="36"/>
      <c r="C43" s="34"/>
      <c r="D43" s="34"/>
      <c r="E43" s="34"/>
      <c r="F43" s="34"/>
    </row>
    <row r="44" spans="1:8" ht="15" thickBot="1" x14ac:dyDescent="0.35">
      <c r="A44" s="16" t="str">
        <f>IF('Styczeń 2026'!B51=1,
IF(AND('Sierpień 2026'!A44="Nadgodziny "&amp;A3,A37="POZOST. DO ODBIORU"),"Nadgodziny "&amp;A3,
IF(AND('Sierpień 2026'!A44="Niedogodziny "&amp;A3,A37="POZOST. DO ZROBIENIA"),"Niedogodziny "&amp;A3,
IF(AND('Sierpień 2026'!A44="Nadgodziny "&amp;A3,A37="POZOST. DO ZROBIENIA"),
IF('Sierpień 2026'!B44-C37&lt;0,"Niedogodziny "&amp;A3,"Nadgodziny "&amp;A3),
IF(AND('Sierpień 2026'!A44="Niedogodziny "&amp;A3,A37="POZOST. DO ODBIORU"),
IF(C37-'Sierpień 2026'!B44&lt;0,"Niedogodziny "&amp;A3,"Nadgodziny "&amp;A3),"błąd")))),
"Nadgodziny "&amp;A3)</f>
        <v>Niedogodziny 2026</v>
      </c>
      <c r="B44" s="59">
        <f>IF('Styczeń 2026'!B51=1,
IFERROR(
IF(AND('Sierpień 2026'!A44="Nadgodziny "&amp;A3,A37="POZOST. DO ODBIORU"),'Sierpień 2026'!B44+C37,
IF(AND('Sierpień 2026'!A44="Niedogodziny "&amp;A3,A37="POZOST. DO ZROBIENIA"),'Sierpień 2026'!B44+C37,
IF(AND('Sierpień 2026'!A44="Nadgodziny "&amp;A3,A37="POZOST. DO ZROBIENIA",'Sierpień 2026'!B44-C37&lt;=0),C37-'Sierpień 2026'!B44,
IF(AND('Sierpień 2026'!A44="Nadgodziny "&amp;A3,A37="POZOST. DO ZROBIENIA",C37-'Sierpień 2026'!B44&lt;=0),'Sierpień 2026'!B44-C37,
IF(AND('Sierpień 2026'!A44="Niedogodziny "&amp;A3,A37="POZOST. DO ODBIORU",'Sierpień 2026'!B44-C37&lt;=0),C37-'Sierpień 2026'!B44,
IF(AND('Sierpień 2026'!A44="Niedogodziny "&amp;A3,A37="POZOST. DO ODBIORU",C37-'Sierpień 2026'!B44&lt;=0),'Sierpień 2026'!B44-C37,"błąd")))))),
"błąd"),"-")</f>
        <v>64.333333333333329</v>
      </c>
      <c r="C44" s="34"/>
      <c r="D44" s="34"/>
      <c r="E44" s="34"/>
      <c r="F44" s="34"/>
    </row>
    <row r="46" spans="1:8" x14ac:dyDescent="0.3">
      <c r="A46" s="20"/>
    </row>
    <row r="47" spans="1:8" x14ac:dyDescent="0.3">
      <c r="A47" s="20"/>
    </row>
  </sheetData>
  <mergeCells count="8">
    <mergeCell ref="A1:B1"/>
    <mergeCell ref="C1:F2"/>
    <mergeCell ref="C34:E34"/>
    <mergeCell ref="C35:E35"/>
    <mergeCell ref="F35:F38"/>
    <mergeCell ref="C36:E36"/>
    <mergeCell ref="C37:E38"/>
    <mergeCell ref="B37:B38"/>
  </mergeCells>
  <conditionalFormatting sqref="B44">
    <cfRule type="expression" dxfId="23" priority="5">
      <formula>$A$44="nadgodziny " &amp; $A$3</formula>
    </cfRule>
    <cfRule type="expression" dxfId="22" priority="6">
      <formula>$A$44="niedogodziny " &amp; $A$3</formula>
    </cfRule>
  </conditionalFormatting>
  <conditionalFormatting sqref="C37">
    <cfRule type="expression" dxfId="21" priority="3">
      <formula>$A$37="POZOST. DO ODBIORU"</formula>
    </cfRule>
    <cfRule type="expression" dxfId="20" priority="4">
      <formula>$A$37="POZOST. DO ZROBIENIA"</formula>
    </cfRule>
  </conditionalFormatting>
  <conditionalFormatting sqref="H34">
    <cfRule type="expression" dxfId="19" priority="1">
      <formula>$G$34="Nadgodziny (obecny m-c)"</formula>
    </cfRule>
    <cfRule type="expression" dxfId="18" priority="2">
      <formula>$G$34="Niedogodziny (obecny m-c)"</formula>
    </cfRule>
  </conditionalFormatting>
  <dataValidations count="1">
    <dataValidation type="list" allowBlank="1" showInputMessage="1" showErrorMessage="1" sqref="F4:F33" xr:uid="{00000000-0002-0000-0800-000000000000}">
      <formula1>"biuro,zdalnie,urlop"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H48"/>
  <sheetViews>
    <sheetView workbookViewId="0">
      <selection sqref="A1:B1"/>
    </sheetView>
  </sheetViews>
  <sheetFormatPr defaultColWidth="8.88671875" defaultRowHeight="14.4" x14ac:dyDescent="0.3"/>
  <cols>
    <col min="1" max="1" width="18.6640625" customWidth="1"/>
    <col min="2" max="2" width="13.33203125" customWidth="1"/>
    <col min="6" max="6" width="20.77734375" customWidth="1"/>
    <col min="7" max="7" width="25.6640625" customWidth="1"/>
    <col min="8" max="8" width="8.6640625" customWidth="1"/>
  </cols>
  <sheetData>
    <row r="1" spans="1:8" ht="15" customHeight="1" x14ac:dyDescent="0.3">
      <c r="A1" s="81" t="s">
        <v>24</v>
      </c>
      <c r="B1" s="82"/>
      <c r="C1" s="118" t="s">
        <v>14</v>
      </c>
      <c r="D1" s="119"/>
      <c r="E1" s="119"/>
      <c r="F1" s="120"/>
    </row>
    <row r="2" spans="1:8" ht="15" customHeight="1" x14ac:dyDescent="0.3">
      <c r="A2" s="25" t="s">
        <v>20</v>
      </c>
      <c r="B2" s="25" t="s">
        <v>7</v>
      </c>
      <c r="C2" s="121"/>
      <c r="D2" s="122"/>
      <c r="E2" s="122"/>
      <c r="F2" s="123"/>
    </row>
    <row r="3" spans="1:8" ht="27.6" x14ac:dyDescent="0.3">
      <c r="A3" s="6">
        <v>2026</v>
      </c>
      <c r="B3" s="26" t="s">
        <v>7</v>
      </c>
      <c r="C3" s="27" t="s">
        <v>0</v>
      </c>
      <c r="D3" s="27" t="s">
        <v>1</v>
      </c>
      <c r="E3" s="2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46296</v>
      </c>
      <c r="B4" s="70" t="str">
        <f t="shared" ref="B4:B34" si="0">TEXT(A4,"ddd")</f>
        <v>czw</v>
      </c>
      <c r="C4" s="71"/>
      <c r="D4" s="71"/>
      <c r="E4" s="72" t="str">
        <f t="shared" ref="E4:E34" si="1">IFERROR(IF(AND(C4&lt;&gt;"",D4&lt;&gt;"",D4-C4&gt;=0),D4-C4,""),"")</f>
        <v/>
      </c>
      <c r="F4" s="68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46297</v>
      </c>
      <c r="B5" s="70" t="str">
        <f t="shared" si="0"/>
        <v>pt</v>
      </c>
      <c r="C5" s="71"/>
      <c r="D5" s="71"/>
      <c r="E5" s="72" t="str">
        <f t="shared" si="1"/>
        <v/>
      </c>
      <c r="F5" s="68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46298</v>
      </c>
      <c r="B6" s="49" t="str">
        <f t="shared" si="0"/>
        <v>sob</v>
      </c>
      <c r="C6" s="48"/>
      <c r="D6" s="48"/>
      <c r="E6" s="51" t="str">
        <f t="shared" si="1"/>
        <v/>
      </c>
      <c r="F6" s="4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46299</v>
      </c>
      <c r="B7" s="49" t="str">
        <f t="shared" si="0"/>
        <v>niedz</v>
      </c>
      <c r="C7" s="48"/>
      <c r="D7" s="48"/>
      <c r="E7" s="51" t="str">
        <f t="shared" si="1"/>
        <v/>
      </c>
      <c r="F7" s="47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46300</v>
      </c>
      <c r="B8" s="70" t="str">
        <f t="shared" si="0"/>
        <v>pon</v>
      </c>
      <c r="C8" s="71"/>
      <c r="D8" s="71"/>
      <c r="E8" s="72" t="str">
        <f t="shared" si="1"/>
        <v/>
      </c>
      <c r="F8" s="67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46301</v>
      </c>
      <c r="B9" s="70" t="str">
        <f t="shared" si="0"/>
        <v>wt</v>
      </c>
      <c r="C9" s="71"/>
      <c r="D9" s="71"/>
      <c r="E9" s="72" t="str">
        <f t="shared" si="1"/>
        <v/>
      </c>
      <c r="F9" s="67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46302</v>
      </c>
      <c r="B10" s="70" t="str">
        <f t="shared" si="0"/>
        <v>śr</v>
      </c>
      <c r="C10" s="71"/>
      <c r="D10" s="71"/>
      <c r="E10" s="72" t="str">
        <f t="shared" si="1"/>
        <v/>
      </c>
      <c r="F10" s="68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46303</v>
      </c>
      <c r="B11" s="70" t="str">
        <f t="shared" si="0"/>
        <v>czw</v>
      </c>
      <c r="C11" s="71"/>
      <c r="D11" s="71"/>
      <c r="E11" s="72" t="str">
        <f t="shared" si="1"/>
        <v/>
      </c>
      <c r="F11" s="68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46304</v>
      </c>
      <c r="B12" s="70" t="str">
        <f t="shared" si="0"/>
        <v>pt</v>
      </c>
      <c r="C12" s="71"/>
      <c r="D12" s="71"/>
      <c r="E12" s="72" t="str">
        <f t="shared" si="1"/>
        <v/>
      </c>
      <c r="F12" s="68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46305</v>
      </c>
      <c r="B13" s="49" t="str">
        <f t="shared" si="0"/>
        <v>sob</v>
      </c>
      <c r="C13" s="48"/>
      <c r="D13" s="48"/>
      <c r="E13" s="51" t="str">
        <f t="shared" si="1"/>
        <v/>
      </c>
      <c r="F13" s="47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46306</v>
      </c>
      <c r="B14" s="49" t="str">
        <f t="shared" si="0"/>
        <v>niedz</v>
      </c>
      <c r="C14" s="48"/>
      <c r="D14" s="48"/>
      <c r="E14" s="51" t="str">
        <f t="shared" si="1"/>
        <v/>
      </c>
      <c r="F14" s="47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46307</v>
      </c>
      <c r="B15" s="70" t="str">
        <f t="shared" si="0"/>
        <v>pon</v>
      </c>
      <c r="C15" s="71"/>
      <c r="D15" s="71"/>
      <c r="E15" s="72" t="str">
        <f t="shared" si="1"/>
        <v/>
      </c>
      <c r="F15" s="67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46308</v>
      </c>
      <c r="B16" s="70" t="str">
        <f t="shared" si="0"/>
        <v>wt</v>
      </c>
      <c r="C16" s="71"/>
      <c r="D16" s="71"/>
      <c r="E16" s="72" t="str">
        <f t="shared" si="1"/>
        <v/>
      </c>
      <c r="F16" s="67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46309</v>
      </c>
      <c r="B17" s="70" t="str">
        <f t="shared" si="0"/>
        <v>śr</v>
      </c>
      <c r="C17" s="71"/>
      <c r="D17" s="71"/>
      <c r="E17" s="72" t="str">
        <f t="shared" si="1"/>
        <v/>
      </c>
      <c r="F17" s="68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46310</v>
      </c>
      <c r="B18" s="70" t="str">
        <f t="shared" si="0"/>
        <v>czw</v>
      </c>
      <c r="C18" s="71"/>
      <c r="D18" s="71"/>
      <c r="E18" s="72" t="str">
        <f t="shared" si="1"/>
        <v/>
      </c>
      <c r="F18" s="73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46311</v>
      </c>
      <c r="B19" s="70" t="str">
        <f t="shared" si="0"/>
        <v>pt</v>
      </c>
      <c r="C19" s="71"/>
      <c r="D19" s="71"/>
      <c r="E19" s="72" t="str">
        <f t="shared" si="1"/>
        <v/>
      </c>
      <c r="F19" s="73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46312</v>
      </c>
      <c r="B20" s="49" t="str">
        <f t="shared" si="0"/>
        <v>sob</v>
      </c>
      <c r="C20" s="48"/>
      <c r="D20" s="48"/>
      <c r="E20" s="51" t="str">
        <f t="shared" si="1"/>
        <v/>
      </c>
      <c r="F20" s="52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46313</v>
      </c>
      <c r="B21" s="49" t="str">
        <f t="shared" si="0"/>
        <v>niedz</v>
      </c>
      <c r="C21" s="48"/>
      <c r="D21" s="48"/>
      <c r="E21" s="51" t="str">
        <f t="shared" si="1"/>
        <v/>
      </c>
      <c r="F21" s="52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46314</v>
      </c>
      <c r="B22" s="70" t="str">
        <f t="shared" si="0"/>
        <v>pon</v>
      </c>
      <c r="C22" s="71"/>
      <c r="D22" s="71"/>
      <c r="E22" s="72" t="str">
        <f t="shared" si="1"/>
        <v/>
      </c>
      <c r="F22" s="67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46315</v>
      </c>
      <c r="B23" s="70" t="str">
        <f t="shared" si="0"/>
        <v>wt</v>
      </c>
      <c r="C23" s="71"/>
      <c r="D23" s="71"/>
      <c r="E23" s="72" t="str">
        <f t="shared" si="1"/>
        <v/>
      </c>
      <c r="F23" s="67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46316</v>
      </c>
      <c r="B24" s="70" t="str">
        <f t="shared" si="0"/>
        <v>śr</v>
      </c>
      <c r="C24" s="71"/>
      <c r="D24" s="71"/>
      <c r="E24" s="72" t="str">
        <f t="shared" si="1"/>
        <v/>
      </c>
      <c r="F24" s="73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46317</v>
      </c>
      <c r="B25" s="70" t="str">
        <f t="shared" si="0"/>
        <v>czw</v>
      </c>
      <c r="C25" s="71"/>
      <c r="D25" s="71"/>
      <c r="E25" s="72" t="str">
        <f t="shared" si="1"/>
        <v/>
      </c>
      <c r="F25" s="73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46318</v>
      </c>
      <c r="B26" s="70" t="str">
        <f t="shared" si="0"/>
        <v>pt</v>
      </c>
      <c r="C26" s="71"/>
      <c r="D26" s="71"/>
      <c r="E26" s="72" t="str">
        <f t="shared" si="1"/>
        <v/>
      </c>
      <c r="F26" s="73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46319</v>
      </c>
      <c r="B27" s="49" t="str">
        <f t="shared" si="0"/>
        <v>sob</v>
      </c>
      <c r="C27" s="48"/>
      <c r="D27" s="48"/>
      <c r="E27" s="51" t="str">
        <f t="shared" si="1"/>
        <v/>
      </c>
      <c r="F27" s="52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46320</v>
      </c>
      <c r="B28" s="49" t="str">
        <f t="shared" si="0"/>
        <v>niedz</v>
      </c>
      <c r="C28" s="48"/>
      <c r="D28" s="48"/>
      <c r="E28" s="51" t="str">
        <f t="shared" si="1"/>
        <v/>
      </c>
      <c r="F28" s="47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46321</v>
      </c>
      <c r="B29" s="70" t="str">
        <f t="shared" si="0"/>
        <v>pon</v>
      </c>
      <c r="C29" s="71"/>
      <c r="D29" s="71"/>
      <c r="E29" s="72" t="str">
        <f t="shared" si="1"/>
        <v/>
      </c>
      <c r="F29" s="67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46322</v>
      </c>
      <c r="B30" s="70" t="str">
        <f t="shared" si="0"/>
        <v>wt</v>
      </c>
      <c r="C30" s="71"/>
      <c r="D30" s="71"/>
      <c r="E30" s="72" t="str">
        <f t="shared" si="1"/>
        <v/>
      </c>
      <c r="F30" s="6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46323</v>
      </c>
      <c r="B31" s="70" t="str">
        <f t="shared" si="0"/>
        <v>śr</v>
      </c>
      <c r="C31" s="71"/>
      <c r="D31" s="71"/>
      <c r="E31" s="72" t="str">
        <f t="shared" si="1"/>
        <v/>
      </c>
      <c r="F31" s="73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46324</v>
      </c>
      <c r="B32" s="70" t="str">
        <f t="shared" si="0"/>
        <v>czw</v>
      </c>
      <c r="C32" s="71"/>
      <c r="D32" s="71"/>
      <c r="E32" s="72" t="str">
        <f t="shared" si="1"/>
        <v/>
      </c>
      <c r="F32" s="73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46325</v>
      </c>
      <c r="B33" s="70" t="str">
        <f t="shared" si="0"/>
        <v>pt</v>
      </c>
      <c r="C33" s="71"/>
      <c r="D33" s="71"/>
      <c r="E33" s="72" t="str">
        <f t="shared" si="1"/>
        <v/>
      </c>
      <c r="F33" s="73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38" cm="1">
        <f t="array" ref="A34">DATE($A$3, MONTH($A$2&amp;1), ROW($A34:A34)-3)</f>
        <v>46326</v>
      </c>
      <c r="B34" s="49" t="str">
        <f t="shared" si="0"/>
        <v>sob</v>
      </c>
      <c r="C34" s="48"/>
      <c r="D34" s="48"/>
      <c r="E34" s="51" t="str">
        <f t="shared" si="1"/>
        <v/>
      </c>
      <c r="F34" s="52"/>
      <c r="G34" s="1" t="str">
        <f>IF('Styczeń 2026'!$B$51=1,IFERROR(IF(E34&lt;&gt;"",IF(AND(D34-C34&lt;1/3,B34&lt;&gt;"sob",B34&lt;&gt;"niedz"),"Niedogodziny","Nadgodziny"),""),""),"")</f>
        <v/>
      </c>
      <c r="H34" s="23" t="str">
        <f>IF('Styczeń 2026'!$B$51=1,IFERROR(IF(AND(E34&lt;&gt;"",OR(B34="sob",B34="niedz")),E34,IF(AND(E34&lt;&gt;"",1/3-E34&gt;0),1/3-E34,IF(AND(E34&lt;&gt;"",E34-1/3&gt;=0),E34-1/3,""))),""),"")</f>
        <v/>
      </c>
    </row>
    <row r="35" spans="1:8" x14ac:dyDescent="0.3">
      <c r="A35" s="28" t="s">
        <v>3</v>
      </c>
      <c r="B35" s="28" t="s">
        <v>7</v>
      </c>
      <c r="C35" s="124">
        <f>SUM(E4:E34)</f>
        <v>0</v>
      </c>
      <c r="D35" s="124"/>
      <c r="E35" s="124"/>
      <c r="F35" s="3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8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8" x14ac:dyDescent="0.3">
      <c r="A36" s="29" t="str">
        <f>IF(OR(ROUND(C35,2)=ROUND(B42*'Styczeń 2026'!$B$51,2),C35&gt;B42*'Styczeń 2026'!$B$51),"DO ODBIORU:","DO ZROBIENIA:")</f>
        <v>DO ZROBIENIA:</v>
      </c>
      <c r="B36" s="30" t="s">
        <v>7</v>
      </c>
      <c r="C36" s="125">
        <f>IF(B42*'Styczeń 2026'!B51-C35&lt;0,C35-B42*'Styczeń 2026'!B51,B42*'Styczeń 2026'!B51-C35)</f>
        <v>7.333333333333333</v>
      </c>
      <c r="D36" s="126"/>
      <c r="E36" s="127"/>
      <c r="F36" s="128"/>
    </row>
    <row r="37" spans="1:8" x14ac:dyDescent="0.3">
      <c r="A37" s="31" t="s">
        <v>4</v>
      </c>
      <c r="B37" s="32" t="s">
        <v>7</v>
      </c>
      <c r="C37" s="94">
        <f>COUNTIF(F:F,"urlop")/3*'Styczeń 2026'!B51</f>
        <v>0</v>
      </c>
      <c r="D37" s="95"/>
      <c r="E37" s="96"/>
      <c r="F37" s="128"/>
    </row>
    <row r="38" spans="1:8" x14ac:dyDescent="0.3">
      <c r="A38" s="33" t="str">
        <f>IF(OR(C36-C37&lt;=0,A36="DO ODBIORU:"),"POZOST. DO ODBIORU","POZOST. DO ZROBIENIA")</f>
        <v>POZOST. DO ZROBIENIA</v>
      </c>
      <c r="B38" s="135" t="s">
        <v>7</v>
      </c>
      <c r="C38" s="129">
        <f>IF(A36="DO ZROBIENIA:",IF(C37-C36&gt;0,C37-C36,C36-C37),C36+C37)</f>
        <v>7.333333333333333</v>
      </c>
      <c r="D38" s="130"/>
      <c r="E38" s="131"/>
      <c r="F38" s="128"/>
    </row>
    <row r="39" spans="1:8" x14ac:dyDescent="0.3">
      <c r="A39" s="60" t="s">
        <v>5</v>
      </c>
      <c r="B39" s="136"/>
      <c r="C39" s="132"/>
      <c r="D39" s="133"/>
      <c r="E39" s="134"/>
      <c r="F39" s="128"/>
    </row>
    <row r="40" spans="1:8" x14ac:dyDescent="0.3">
      <c r="A40" s="34"/>
      <c r="B40" s="34"/>
      <c r="C40" s="34"/>
      <c r="D40" s="34"/>
      <c r="E40" s="34"/>
      <c r="F40" s="34"/>
    </row>
    <row r="41" spans="1:8" x14ac:dyDescent="0.3">
      <c r="A41" s="34"/>
      <c r="B41" s="34"/>
      <c r="C41" s="34"/>
      <c r="D41" s="34"/>
      <c r="E41" s="34"/>
      <c r="F41" s="34"/>
    </row>
    <row r="42" spans="1:8" x14ac:dyDescent="0.3">
      <c r="A42" s="35" t="s">
        <v>6</v>
      </c>
      <c r="B42" s="58">
        <v>7.333333333333333</v>
      </c>
      <c r="C42" s="34"/>
      <c r="D42" s="34"/>
      <c r="E42" s="34"/>
      <c r="F42" s="34"/>
    </row>
    <row r="43" spans="1:8" ht="15" thickBot="1" x14ac:dyDescent="0.35">
      <c r="A43" s="34"/>
      <c r="B43" s="36"/>
      <c r="C43" s="34"/>
      <c r="D43" s="34"/>
      <c r="E43" s="34"/>
      <c r="F43" s="34"/>
    </row>
    <row r="44" spans="1:8" ht="15" thickBot="1" x14ac:dyDescent="0.35">
      <c r="A44" s="16" t="str">
        <f>IF('Styczeń 2026'!B51=1,
IF(AND('Wrzesień 2026'!A44="Nadgodziny "&amp;A3,A38="POZOST. DO ODBIORU"),"Nadgodziny "&amp;A3,
IF(AND('Wrzesień 2026'!A44="Niedogodziny "&amp;A3,A38="POZOST. DO ZROBIENIA"),"Niedogodziny "&amp;A3,
IF(AND('Wrzesień 2026'!A44="Nadgodziny "&amp;A3,A38="POZOST. DO ZROBIENIA"),
IF('Wrzesień 2026'!B44-C38&lt;0,"Niedogodziny "&amp;A3,"Nadgodziny "&amp;A3),
IF(AND('Wrzesień 2026'!A44="Niedogodziny "&amp;A3,A38="POZOST. DO ODBIORU"),
IF(C38-'Wrzesień 2026'!B44&lt;0,"Niedogodziny "&amp;A3,"Nadgodziny "&amp;A3),"błąd")))),
"Nadgodziny "&amp;A3)</f>
        <v>Niedogodziny 2026</v>
      </c>
      <c r="B44" s="59">
        <f>IF('Styczeń 2026'!B51=1,
IFERROR(
IF(AND('Wrzesień 2026'!A44="Nadgodziny "&amp;A3,A38="POZOST. DO ODBIORU"),'Wrzesień 2026'!B44+C38,
IF(AND('Wrzesień 2026'!A44="Niedogodziny "&amp;A3,A38="POZOST. DO ZROBIENIA"),'Wrzesień 2026'!B44+C38,
IF(AND('Wrzesień 2026'!A44="Nadgodziny "&amp;A3,A38="POZOST. DO ZROBIENIA",'Wrzesień 2026'!B44-C38&lt;=0),C38-'Wrzesień 2026'!B44,
IF(AND('Wrzesień 2026'!A44="Nadgodziny "&amp;A3,A38="POZOST. DO ZROBIENIA",C38-'Wrzesień 2026'!B44&lt;=0),'Wrzesień 2026'!B44-C38,
IF(AND('Wrzesień 2026'!A44="Niedogodziny "&amp;A3,A38="POZOST. DO ODBIORU",'Wrzesień 2026'!B44-C38&lt;=0),C38-'Wrzesień 2026'!B44,
IF(AND('Wrzesień 2026'!A44="Niedogodziny "&amp;A3,A38="POZOST. DO ODBIORU",C38-'Wrzesień 2026'!B44&lt;=0),'Wrzesień 2026'!B44-C38,"błąd")))))),
"błąd"),"-")</f>
        <v>71.666666666666657</v>
      </c>
      <c r="C44" s="34"/>
      <c r="D44" s="34"/>
      <c r="E44" s="34"/>
      <c r="F44" s="34"/>
    </row>
    <row r="45" spans="1:8" x14ac:dyDescent="0.3">
      <c r="A45" s="37"/>
      <c r="B45" s="34"/>
      <c r="C45" s="34"/>
      <c r="D45" s="34"/>
      <c r="E45" s="34"/>
      <c r="F45" s="34"/>
    </row>
    <row r="47" spans="1:8" x14ac:dyDescent="0.3">
      <c r="A47" s="20"/>
    </row>
    <row r="48" spans="1:8" x14ac:dyDescent="0.3">
      <c r="A48" s="20"/>
    </row>
  </sheetData>
  <mergeCells count="8">
    <mergeCell ref="A1:B1"/>
    <mergeCell ref="C1:F2"/>
    <mergeCell ref="C35:E35"/>
    <mergeCell ref="C36:E36"/>
    <mergeCell ref="F36:F39"/>
    <mergeCell ref="C37:E37"/>
    <mergeCell ref="C38:E39"/>
    <mergeCell ref="B38:B39"/>
  </mergeCells>
  <conditionalFormatting sqref="B44">
    <cfRule type="expression" dxfId="17" priority="5">
      <formula>$A$44="nadgodziny " &amp; $A$3</formula>
    </cfRule>
    <cfRule type="expression" dxfId="16" priority="6">
      <formula>$A$44="niedogodziny " &amp; $A$3</formula>
    </cfRule>
  </conditionalFormatting>
  <conditionalFormatting sqref="C38">
    <cfRule type="expression" dxfId="15" priority="3">
      <formula>$A$38="POZOST. DO ODBIORU"</formula>
    </cfRule>
    <cfRule type="expression" dxfId="14" priority="4">
      <formula>$A$38="POZOST. DO ZROBIENIA"</formula>
    </cfRule>
  </conditionalFormatting>
  <conditionalFormatting sqref="H35">
    <cfRule type="expression" dxfId="13" priority="1">
      <formula>$G$35="Nadgodziny (obecny m-c)"</formula>
    </cfRule>
    <cfRule type="expression" dxfId="12" priority="2">
      <formula>$G$35="Niedogodziny (obecny m-c)"</formula>
    </cfRule>
  </conditionalFormatting>
  <dataValidations count="1">
    <dataValidation type="list" allowBlank="1" showInputMessage="1" showErrorMessage="1" sqref="F4:F34" xr:uid="{00000000-0002-0000-0900-000000000000}">
      <formula1>"biuro,zdalnie,urlop"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H52"/>
  <sheetViews>
    <sheetView workbookViewId="0">
      <selection sqref="A1:B1"/>
    </sheetView>
  </sheetViews>
  <sheetFormatPr defaultColWidth="8.88671875" defaultRowHeight="14.4" x14ac:dyDescent="0.3"/>
  <cols>
    <col min="1" max="1" width="18.6640625" customWidth="1"/>
    <col min="2" max="2" width="13.33203125" customWidth="1"/>
    <col min="6" max="6" width="20.77734375" customWidth="1"/>
    <col min="7" max="7" width="25.6640625" customWidth="1"/>
    <col min="8" max="8" width="8.6640625" customWidth="1"/>
  </cols>
  <sheetData>
    <row r="1" spans="1:8" ht="15" customHeight="1" x14ac:dyDescent="0.3">
      <c r="A1" s="81" t="s">
        <v>24</v>
      </c>
      <c r="B1" s="82"/>
      <c r="C1" s="118" t="s">
        <v>14</v>
      </c>
      <c r="D1" s="119"/>
      <c r="E1" s="119"/>
      <c r="F1" s="120"/>
    </row>
    <row r="2" spans="1:8" ht="15" customHeight="1" x14ac:dyDescent="0.3">
      <c r="A2" s="25" t="s">
        <v>21</v>
      </c>
      <c r="B2" s="25" t="s">
        <v>7</v>
      </c>
      <c r="C2" s="121"/>
      <c r="D2" s="122"/>
      <c r="E2" s="122"/>
      <c r="F2" s="123"/>
    </row>
    <row r="3" spans="1:8" ht="27.6" x14ac:dyDescent="0.3">
      <c r="A3" s="6">
        <v>2026</v>
      </c>
      <c r="B3" s="26" t="s">
        <v>7</v>
      </c>
      <c r="C3" s="27" t="s">
        <v>0</v>
      </c>
      <c r="D3" s="27" t="s">
        <v>1</v>
      </c>
      <c r="E3" s="2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46327</v>
      </c>
      <c r="B4" s="49" t="str">
        <f t="shared" ref="B4:B33" si="0">TEXT(A4,"ddd")</f>
        <v>niedz</v>
      </c>
      <c r="C4" s="48"/>
      <c r="D4" s="48"/>
      <c r="E4" s="51" t="str">
        <f t="shared" ref="E4:E33" si="1">IFERROR(IF(AND(C4&lt;&gt;"",D4&lt;&gt;"",D4-C4&gt;=0),D4-C4,""),"")</f>
        <v/>
      </c>
      <c r="F4" s="45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46328</v>
      </c>
      <c r="B5" s="70" t="str">
        <f t="shared" si="0"/>
        <v>pon</v>
      </c>
      <c r="C5" s="71"/>
      <c r="D5" s="71"/>
      <c r="E5" s="72" t="str">
        <f t="shared" si="1"/>
        <v/>
      </c>
      <c r="F5" s="67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46329</v>
      </c>
      <c r="B6" s="70" t="str">
        <f t="shared" si="0"/>
        <v>wt</v>
      </c>
      <c r="C6" s="71"/>
      <c r="D6" s="71"/>
      <c r="E6" s="72" t="str">
        <f t="shared" si="1"/>
        <v/>
      </c>
      <c r="F6" s="67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46330</v>
      </c>
      <c r="B7" s="70" t="str">
        <f t="shared" si="0"/>
        <v>śr</v>
      </c>
      <c r="C7" s="71"/>
      <c r="D7" s="71"/>
      <c r="E7" s="72" t="str">
        <f t="shared" si="1"/>
        <v/>
      </c>
      <c r="F7" s="73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46331</v>
      </c>
      <c r="B8" s="70" t="str">
        <f t="shared" si="0"/>
        <v>czw</v>
      </c>
      <c r="C8" s="71"/>
      <c r="D8" s="71"/>
      <c r="E8" s="72" t="str">
        <f t="shared" si="1"/>
        <v/>
      </c>
      <c r="F8" s="73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46332</v>
      </c>
      <c r="B9" s="70" t="str">
        <f t="shared" si="0"/>
        <v>pt</v>
      </c>
      <c r="C9" s="72"/>
      <c r="D9" s="72"/>
      <c r="E9" s="72" t="str">
        <f t="shared" si="1"/>
        <v/>
      </c>
      <c r="F9" s="73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46333</v>
      </c>
      <c r="B10" s="49" t="str">
        <f t="shared" si="0"/>
        <v>sob</v>
      </c>
      <c r="C10" s="48"/>
      <c r="D10" s="48"/>
      <c r="E10" s="51" t="str">
        <f t="shared" si="1"/>
        <v/>
      </c>
      <c r="F10" s="52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46334</v>
      </c>
      <c r="B11" s="49" t="str">
        <f t="shared" si="0"/>
        <v>niedz</v>
      </c>
      <c r="C11" s="48"/>
      <c r="D11" s="48"/>
      <c r="E11" s="51" t="str">
        <f t="shared" si="1"/>
        <v/>
      </c>
      <c r="F11" s="52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46335</v>
      </c>
      <c r="B12" s="70" t="str">
        <f t="shared" si="0"/>
        <v>pon</v>
      </c>
      <c r="C12" s="71"/>
      <c r="D12" s="71"/>
      <c r="E12" s="72" t="str">
        <f t="shared" si="1"/>
        <v/>
      </c>
      <c r="F12" s="67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46336</v>
      </c>
      <c r="B13" s="70" t="str">
        <f t="shared" si="0"/>
        <v>wt</v>
      </c>
      <c r="C13" s="71"/>
      <c r="D13" s="71"/>
      <c r="E13" s="71" t="str">
        <f t="shared" si="1"/>
        <v/>
      </c>
      <c r="F13" s="71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46337</v>
      </c>
      <c r="B14" s="70" t="str">
        <f t="shared" si="0"/>
        <v>śr</v>
      </c>
      <c r="C14" s="71"/>
      <c r="D14" s="71"/>
      <c r="E14" s="72" t="str">
        <f t="shared" si="1"/>
        <v/>
      </c>
      <c r="F14" s="74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46338</v>
      </c>
      <c r="B15" s="70" t="str">
        <f t="shared" si="0"/>
        <v>czw</v>
      </c>
      <c r="C15" s="71"/>
      <c r="D15" s="71"/>
      <c r="E15" s="72" t="str">
        <f t="shared" si="1"/>
        <v/>
      </c>
      <c r="F15" s="73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46339</v>
      </c>
      <c r="B16" s="70" t="str">
        <f t="shared" si="0"/>
        <v>pt</v>
      </c>
      <c r="C16" s="71"/>
      <c r="D16" s="71"/>
      <c r="E16" s="72" t="str">
        <f t="shared" si="1"/>
        <v/>
      </c>
      <c r="F16" s="73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46340</v>
      </c>
      <c r="B17" s="49" t="str">
        <f t="shared" si="0"/>
        <v>sob</v>
      </c>
      <c r="C17" s="48"/>
      <c r="D17" s="48"/>
      <c r="E17" s="51" t="str">
        <f t="shared" si="1"/>
        <v/>
      </c>
      <c r="F17" s="52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46341</v>
      </c>
      <c r="B18" s="49" t="str">
        <f t="shared" si="0"/>
        <v>niedz</v>
      </c>
      <c r="C18" s="48"/>
      <c r="D18" s="48"/>
      <c r="E18" s="51" t="str">
        <f t="shared" si="1"/>
        <v/>
      </c>
      <c r="F18" s="52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46342</v>
      </c>
      <c r="B19" s="70" t="str">
        <f t="shared" si="0"/>
        <v>pon</v>
      </c>
      <c r="C19" s="71"/>
      <c r="D19" s="71"/>
      <c r="E19" s="72" t="str">
        <f t="shared" si="1"/>
        <v/>
      </c>
      <c r="F19" s="67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46343</v>
      </c>
      <c r="B20" s="70" t="str">
        <f t="shared" si="0"/>
        <v>wt</v>
      </c>
      <c r="C20" s="75"/>
      <c r="D20" s="75"/>
      <c r="E20" s="72" t="str">
        <f t="shared" si="1"/>
        <v/>
      </c>
      <c r="F20" s="67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46344</v>
      </c>
      <c r="B21" s="70" t="str">
        <f t="shared" si="0"/>
        <v>śr</v>
      </c>
      <c r="C21" s="71"/>
      <c r="D21" s="71"/>
      <c r="E21" s="72" t="str">
        <f t="shared" si="1"/>
        <v/>
      </c>
      <c r="F21" s="73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46345</v>
      </c>
      <c r="B22" s="70" t="str">
        <f t="shared" si="0"/>
        <v>czw</v>
      </c>
      <c r="C22" s="72"/>
      <c r="D22" s="72"/>
      <c r="E22" s="72" t="str">
        <f t="shared" si="1"/>
        <v/>
      </c>
      <c r="F22" s="73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46346</v>
      </c>
      <c r="B23" s="70" t="str">
        <f t="shared" si="0"/>
        <v>pt</v>
      </c>
      <c r="C23" s="72"/>
      <c r="D23" s="72"/>
      <c r="E23" s="72" t="str">
        <f t="shared" si="1"/>
        <v/>
      </c>
      <c r="F23" s="73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46347</v>
      </c>
      <c r="B24" s="49" t="str">
        <f t="shared" si="0"/>
        <v>sob</v>
      </c>
      <c r="C24" s="48"/>
      <c r="D24" s="48"/>
      <c r="E24" s="51" t="str">
        <f t="shared" si="1"/>
        <v/>
      </c>
      <c r="F24" s="52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46348</v>
      </c>
      <c r="B25" s="49" t="str">
        <f t="shared" si="0"/>
        <v>niedz</v>
      </c>
      <c r="C25" s="48"/>
      <c r="D25" s="48"/>
      <c r="E25" s="51" t="str">
        <f t="shared" si="1"/>
        <v/>
      </c>
      <c r="F25" s="52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46349</v>
      </c>
      <c r="B26" s="70" t="str">
        <f t="shared" si="0"/>
        <v>pon</v>
      </c>
      <c r="C26" s="71"/>
      <c r="D26" s="71"/>
      <c r="E26" s="72" t="str">
        <f t="shared" si="1"/>
        <v/>
      </c>
      <c r="F26" s="67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46350</v>
      </c>
      <c r="B27" s="70" t="str">
        <f t="shared" si="0"/>
        <v>wt</v>
      </c>
      <c r="C27" s="71"/>
      <c r="D27" s="71"/>
      <c r="E27" s="72" t="str">
        <f t="shared" si="1"/>
        <v/>
      </c>
      <c r="F27" s="67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46351</v>
      </c>
      <c r="B28" s="70" t="str">
        <f t="shared" si="0"/>
        <v>śr</v>
      </c>
      <c r="C28" s="71"/>
      <c r="D28" s="71"/>
      <c r="E28" s="72" t="str">
        <f t="shared" si="1"/>
        <v/>
      </c>
      <c r="F28" s="73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46352</v>
      </c>
      <c r="B29" s="70" t="str">
        <f t="shared" si="0"/>
        <v>czw</v>
      </c>
      <c r="C29" s="71"/>
      <c r="D29" s="71"/>
      <c r="E29" s="72" t="str">
        <f t="shared" si="1"/>
        <v/>
      </c>
      <c r="F29" s="73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46353</v>
      </c>
      <c r="B30" s="70" t="str">
        <f t="shared" si="0"/>
        <v>pt</v>
      </c>
      <c r="C30" s="71"/>
      <c r="D30" s="71"/>
      <c r="E30" s="72" t="str">
        <f t="shared" si="1"/>
        <v/>
      </c>
      <c r="F30" s="73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46354</v>
      </c>
      <c r="B31" s="49" t="str">
        <f t="shared" si="0"/>
        <v>sob</v>
      </c>
      <c r="C31" s="48"/>
      <c r="D31" s="48"/>
      <c r="E31" s="51" t="str">
        <f t="shared" si="1"/>
        <v/>
      </c>
      <c r="F31" s="52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46355</v>
      </c>
      <c r="B32" s="49" t="str">
        <f t="shared" si="0"/>
        <v>niedz</v>
      </c>
      <c r="C32" s="48"/>
      <c r="D32" s="48"/>
      <c r="E32" s="51" t="str">
        <f t="shared" si="1"/>
        <v/>
      </c>
      <c r="F32" s="52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46356</v>
      </c>
      <c r="B33" s="70" t="str">
        <f t="shared" si="0"/>
        <v>pon</v>
      </c>
      <c r="C33" s="71"/>
      <c r="D33" s="71"/>
      <c r="E33" s="72" t="str">
        <f t="shared" si="1"/>
        <v/>
      </c>
      <c r="F33" s="67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28" t="s">
        <v>3</v>
      </c>
      <c r="B34" s="28" t="s">
        <v>7</v>
      </c>
      <c r="C34" s="124">
        <f>SUM(E4:E34)</f>
        <v>0</v>
      </c>
      <c r="D34" s="124"/>
      <c r="E34" s="124"/>
      <c r="F34" s="3" t="s">
        <v>7</v>
      </c>
      <c r="G34" s="4" t="str">
        <f>IF(SUMIF(G4:G33,"Nadgodziny",H4:H33) - SUMIF(G4:G33,"Niedogodziny",H4:H33) &gt;= 0,"Nadgodziny (obecny m-c)", "Niedogodziny (obecny m-c)")</f>
        <v>Nadgodziny (obecny m-c)</v>
      </c>
      <c r="H34" s="58">
        <f>IF(SUMIF(G4:G33,"Nadgodziny",H4:H33) - SUMIF(G4:G33,"Niedogodziny",H4:H33) &gt; 0,SUMIF(G4:G33,"Nadgodziny",H4:H33) - SUMIF(G4:G33,"Niedogodziny",H4:H33), SUMIF(G4:G33,"Niedogodziny",H4:H33) - SUMIF(G4:G33,"Nadgodziny",H4:H33))</f>
        <v>0</v>
      </c>
    </row>
    <row r="35" spans="1:8" x14ac:dyDescent="0.3">
      <c r="A35" s="29" t="str">
        <f>IF(OR(ROUND(C34,2)=ROUND(B42*'Styczeń 2026'!$B$51,2),C34&gt;B42*'Styczeń 2026'!$B$51),"DO ODBIORU:","DO ZROBIENIA:")</f>
        <v>DO ZROBIENIA:</v>
      </c>
      <c r="B35" s="30" t="s">
        <v>7</v>
      </c>
      <c r="C35" s="125">
        <f>IF(B42*'Styczeń 2026'!B51-C34&lt;0,C34-B42*'Styczeń 2026'!B51,B42*'Styczeń 2026'!B51-C34)</f>
        <v>6.666666666666667</v>
      </c>
      <c r="D35" s="126"/>
      <c r="E35" s="127"/>
      <c r="F35" s="128"/>
    </row>
    <row r="36" spans="1:8" x14ac:dyDescent="0.3">
      <c r="A36" s="31" t="s">
        <v>4</v>
      </c>
      <c r="B36" s="32" t="s">
        <v>7</v>
      </c>
      <c r="C36" s="94">
        <f>COUNTIF(F:F,"urlop")/3*'Styczeń 2026'!B51</f>
        <v>0</v>
      </c>
      <c r="D36" s="95"/>
      <c r="E36" s="96"/>
      <c r="F36" s="128"/>
    </row>
    <row r="37" spans="1:8" x14ac:dyDescent="0.3">
      <c r="A37" s="33" t="str">
        <f>IF(OR(C35-C36&lt;=0,A35="DO ODBIORU:"),"POZOST. DO ODBIORU","POZOST. DO ZROBIENIA")</f>
        <v>POZOST. DO ZROBIENIA</v>
      </c>
      <c r="B37" s="135" t="s">
        <v>7</v>
      </c>
      <c r="C37" s="129">
        <f>IF(A35="DO ZROBIENIA:",IF(C36-C35&gt;0,C36-C35,C35-C36),C35+C36)</f>
        <v>6.666666666666667</v>
      </c>
      <c r="D37" s="130"/>
      <c r="E37" s="131"/>
      <c r="F37" s="128"/>
    </row>
    <row r="38" spans="1:8" x14ac:dyDescent="0.3">
      <c r="A38" s="60" t="s">
        <v>5</v>
      </c>
      <c r="B38" s="136"/>
      <c r="C38" s="132"/>
      <c r="D38" s="133"/>
      <c r="E38" s="134"/>
      <c r="F38" s="128"/>
    </row>
    <row r="39" spans="1:8" x14ac:dyDescent="0.3">
      <c r="A39" s="34"/>
      <c r="B39" s="34"/>
      <c r="C39" s="34"/>
      <c r="D39" s="34"/>
      <c r="E39" s="34"/>
      <c r="F39" s="34"/>
    </row>
    <row r="40" spans="1:8" x14ac:dyDescent="0.3">
      <c r="A40" s="34"/>
      <c r="B40" s="34"/>
      <c r="C40" s="34"/>
      <c r="D40" s="34"/>
      <c r="E40" s="34"/>
      <c r="F40" s="34"/>
    </row>
    <row r="41" spans="1:8" x14ac:dyDescent="0.3">
      <c r="C41" s="34"/>
      <c r="D41" s="34"/>
      <c r="E41" s="34"/>
      <c r="F41" s="34"/>
    </row>
    <row r="42" spans="1:8" x14ac:dyDescent="0.3">
      <c r="A42" s="35" t="s">
        <v>6</v>
      </c>
      <c r="B42" s="58">
        <v>6.666666666666667</v>
      </c>
      <c r="C42" s="34"/>
      <c r="D42" s="34"/>
      <c r="E42" s="34"/>
      <c r="F42" s="34"/>
    </row>
    <row r="43" spans="1:8" ht="15" thickBot="1" x14ac:dyDescent="0.35">
      <c r="A43" s="34"/>
      <c r="B43" s="36"/>
      <c r="C43" s="34"/>
      <c r="D43" s="34"/>
      <c r="E43" s="34"/>
      <c r="F43" s="34"/>
      <c r="G43" s="40"/>
    </row>
    <row r="44" spans="1:8" ht="15" thickBot="1" x14ac:dyDescent="0.35">
      <c r="A44" s="16" t="str">
        <f>IF('Styczeń 2026'!B51=1,
IF(AND('Październik 2026'!A44="Nadgodziny "&amp;A3,A37="POZOST. DO ODBIORU"),"Nadgodziny "&amp;A3,
IF(AND('Październik 2026'!A44="Niedogodziny "&amp;A3,A37="POZOST. DO ZROBIENIA"),"Niedogodziny "&amp;A3,
IF(AND('Październik 2026'!A44="Nadgodziny "&amp;A3,A37="POZOST. DO ZROBIENIA"),
IF('Październik 2026'!B44-C37&lt;0,"Niedogodziny "&amp;A3,"Nadgodziny "&amp;A3),
IF(AND('Październik 2026'!A44="Niedogodziny "&amp;A3,A37="POZOST. DO ODBIORU"),
IF(C37-'Październik 2026'!B44&lt;0,"Niedogodziny "&amp;A3,"Nadgodziny "&amp;A3),"błąd")))),
"Nadgodziny "&amp;A3)</f>
        <v>Niedogodziny 2026</v>
      </c>
      <c r="B44" s="59">
        <f>IF('Styczeń 2026'!B51=1,
IFERROR(
IF(AND('Październik 2026'!A44="Nadgodziny "&amp;A3,A37="POZOST. DO ODBIORU"),'Październik 2026'!B44+C37,
IF(AND('Październik 2026'!A44="Niedogodziny "&amp;A3,A37="POZOST. DO ZROBIENIA"),'Październik 2026'!B44+C37,
IF(AND('Październik 2026'!A44="Nadgodziny "&amp;A3,A37="POZOST. DO ZROBIENIA",'Październik 2026'!B44-C37&lt;=0),C37-'Październik 2026'!B44,
IF(AND('Październik 2026'!A44="Nadgodziny "&amp;A3,A37="POZOST. DO ZROBIENIA",C37-'Październik 2026'!B44&lt;=0),'Październik 2026'!B44-C37,
IF(AND('Październik 2026'!A44="Niedogodziny "&amp;A3,A37="POZOST. DO ODBIORU",'Październik 2026'!B44-C37&lt;=0),C37-'Październik 2026'!B44,
IF(AND('Październik 2026'!A44="Niedogodziny "&amp;A3,A37="POZOST. DO ODBIORU",C37-'Październik 2026'!B44&lt;=0),'Październik 2026'!B44-C37,"błąd")))))),
"błąd"),"-")</f>
        <v>78.333333333333329</v>
      </c>
      <c r="C44" s="34"/>
      <c r="D44" s="34"/>
      <c r="E44" s="34"/>
      <c r="F44" s="34"/>
    </row>
    <row r="46" spans="1:8" x14ac:dyDescent="0.3">
      <c r="A46" s="20"/>
      <c r="G46" s="41"/>
    </row>
    <row r="47" spans="1:8" x14ac:dyDescent="0.3">
      <c r="A47" s="20"/>
    </row>
    <row r="49" spans="7:7" x14ac:dyDescent="0.3">
      <c r="G49" s="41"/>
    </row>
    <row r="52" spans="7:7" x14ac:dyDescent="0.3">
      <c r="G52" s="40"/>
    </row>
  </sheetData>
  <mergeCells count="8">
    <mergeCell ref="A1:B1"/>
    <mergeCell ref="C1:F2"/>
    <mergeCell ref="C34:E34"/>
    <mergeCell ref="C35:E35"/>
    <mergeCell ref="F35:F38"/>
    <mergeCell ref="C36:E36"/>
    <mergeCell ref="C37:E38"/>
    <mergeCell ref="B37:B38"/>
  </mergeCells>
  <conditionalFormatting sqref="B44">
    <cfRule type="expression" dxfId="11" priority="5">
      <formula>$A$44="nadgodziny " &amp; $A$3</formula>
    </cfRule>
    <cfRule type="expression" dxfId="10" priority="6">
      <formula>$A$44="niedogodziny " &amp; $A$3</formula>
    </cfRule>
  </conditionalFormatting>
  <conditionalFormatting sqref="C37">
    <cfRule type="expression" dxfId="9" priority="3">
      <formula>$A$37="POZOST. DO ODBIORU"</formula>
    </cfRule>
    <cfRule type="expression" dxfId="8" priority="4">
      <formula>$A$37="POZOST. DO ZROBIENIA"</formula>
    </cfRule>
  </conditionalFormatting>
  <conditionalFormatting sqref="H34">
    <cfRule type="expression" dxfId="7" priority="1">
      <formula>$G$34="Nadgodziny (obecny m-c)"</formula>
    </cfRule>
    <cfRule type="expression" dxfId="6" priority="2">
      <formula>$G$34="Niedogodziny (obecny m-c)"</formula>
    </cfRule>
  </conditionalFormatting>
  <dataValidations count="1">
    <dataValidation type="list" allowBlank="1" showInputMessage="1" showErrorMessage="1" sqref="F4:F33" xr:uid="{00000000-0002-0000-0A00-000000000000}">
      <formula1>"biuro,zdalnie,urlop"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H48"/>
  <sheetViews>
    <sheetView zoomScaleNormal="100" workbookViewId="0">
      <selection sqref="A1:B1"/>
    </sheetView>
  </sheetViews>
  <sheetFormatPr defaultColWidth="8.88671875" defaultRowHeight="14.4" x14ac:dyDescent="0.3"/>
  <cols>
    <col min="1" max="1" width="18.6640625" customWidth="1"/>
    <col min="2" max="2" width="13.33203125" customWidth="1"/>
    <col min="6" max="6" width="20.77734375" customWidth="1"/>
    <col min="7" max="7" width="25.6640625" customWidth="1"/>
    <col min="8" max="8" width="8.6640625" customWidth="1"/>
  </cols>
  <sheetData>
    <row r="1" spans="1:8" ht="15" customHeight="1" x14ac:dyDescent="0.3">
      <c r="A1" s="81" t="s">
        <v>24</v>
      </c>
      <c r="B1" s="82"/>
      <c r="C1" s="118" t="s">
        <v>14</v>
      </c>
      <c r="D1" s="119"/>
      <c r="E1" s="119"/>
      <c r="F1" s="120"/>
    </row>
    <row r="2" spans="1:8" ht="15" customHeight="1" x14ac:dyDescent="0.3">
      <c r="A2" s="25" t="s">
        <v>22</v>
      </c>
      <c r="B2" s="25" t="s">
        <v>7</v>
      </c>
      <c r="C2" s="121"/>
      <c r="D2" s="122"/>
      <c r="E2" s="122"/>
      <c r="F2" s="123"/>
    </row>
    <row r="3" spans="1:8" ht="27.6" x14ac:dyDescent="0.3">
      <c r="A3" s="6">
        <v>2026</v>
      </c>
      <c r="B3" s="26" t="s">
        <v>7</v>
      </c>
      <c r="C3" s="27" t="s">
        <v>0</v>
      </c>
      <c r="D3" s="27" t="s">
        <v>1</v>
      </c>
      <c r="E3" s="27" t="s">
        <v>2</v>
      </c>
      <c r="F3" s="2" t="s">
        <v>23</v>
      </c>
    </row>
    <row r="4" spans="1:8" x14ac:dyDescent="0.3">
      <c r="A4" s="38" cm="1">
        <f t="array" ref="A4">DATE($A$3, MONTH($A$2&amp;1), ROW($A4:A4)-3)</f>
        <v>46357</v>
      </c>
      <c r="B4" s="70" t="str">
        <f t="shared" ref="B4:B34" si="0">TEXT(A4,"ddd")</f>
        <v>wt</v>
      </c>
      <c r="C4" s="71"/>
      <c r="D4" s="71"/>
      <c r="E4" s="72" t="str">
        <f t="shared" ref="E4:E34" si="1">IFERROR(IF(AND(C4&lt;&gt;"",D4&lt;&gt;"",D4-C4&gt;=0),D4-C4,""),"")</f>
        <v/>
      </c>
      <c r="F4" s="67"/>
      <c r="G4" s="1" t="str">
        <f>IF('Styczeń 2026'!$B$51=1,IFERROR(IF(E4&lt;&gt;"",IF(AND(D4-C4&lt;1/3,B4&lt;&gt;"sob",B4&lt;&gt;"niedz"),"Niedogodziny","Nadgodziny"),""),""),"")</f>
        <v/>
      </c>
      <c r="H4" s="23" t="str">
        <f>IF('Styczeń 2026'!$B$51=1,IFERROR(IF(AND(E4&lt;&gt;"",OR(B4="sob",B4="niedz")),E4,IF(AND(E4&lt;&gt;"",1/3-E4&gt;0),1/3-E4,IF(AND(E4&lt;&gt;"",E4-1/3&gt;=0),E4-1/3,""))),""),"")</f>
        <v/>
      </c>
    </row>
    <row r="5" spans="1:8" x14ac:dyDescent="0.3">
      <c r="A5" s="38" cm="1">
        <f t="array" ref="A5">DATE($A$3, MONTH($A$2&amp;1), ROW($A5:A5)-3)</f>
        <v>46358</v>
      </c>
      <c r="B5" s="70" t="str">
        <f t="shared" si="0"/>
        <v>śr</v>
      </c>
      <c r="C5" s="71"/>
      <c r="D5" s="71"/>
      <c r="E5" s="72" t="str">
        <f t="shared" si="1"/>
        <v/>
      </c>
      <c r="F5" s="73"/>
      <c r="G5" s="1" t="str">
        <f>IF('Styczeń 2026'!$B$51=1,IFERROR(IF(E5&lt;&gt;"",IF(AND(D5-C5&lt;1/3,B5&lt;&gt;"sob",B5&lt;&gt;"niedz"),"Niedogodziny","Nadgodziny"),""),""),"")</f>
        <v/>
      </c>
      <c r="H5" s="23" t="str">
        <f>IF('Styczeń 2026'!$B$51=1,IFERROR(IF(AND(E5&lt;&gt;"",OR(B5="sob",B5="niedz")),E5,IF(AND(E5&lt;&gt;"",1/3-E5&gt;0),1/3-E5,IF(AND(E5&lt;&gt;"",E5-1/3&gt;=0),E5-1/3,""))),""),"")</f>
        <v/>
      </c>
    </row>
    <row r="6" spans="1:8" x14ac:dyDescent="0.3">
      <c r="A6" s="38" cm="1">
        <f t="array" ref="A6">DATE($A$3, MONTH($A$2&amp;1), ROW($A6:A6)-3)</f>
        <v>46359</v>
      </c>
      <c r="B6" s="70" t="str">
        <f t="shared" si="0"/>
        <v>czw</v>
      </c>
      <c r="C6" s="71"/>
      <c r="D6" s="71"/>
      <c r="E6" s="72" t="str">
        <f t="shared" si="1"/>
        <v/>
      </c>
      <c r="F6" s="73"/>
      <c r="G6" s="1" t="str">
        <f>IF('Styczeń 2026'!$B$51=1,IFERROR(IF(E6&lt;&gt;"",IF(AND(D6-C6&lt;1/3,B6&lt;&gt;"sob",B6&lt;&gt;"niedz"),"Niedogodziny","Nadgodziny"),""),""),"")</f>
        <v/>
      </c>
      <c r="H6" s="23" t="str">
        <f>IF('Styczeń 2026'!$B$51=1,IFERROR(IF(AND(E6&lt;&gt;"",OR(B6="sob",B6="niedz")),E6,IF(AND(E6&lt;&gt;"",1/3-E6&gt;0),1/3-E6,IF(AND(E6&lt;&gt;"",E6-1/3&gt;=0),E6-1/3,""))),""),"")</f>
        <v/>
      </c>
    </row>
    <row r="7" spans="1:8" x14ac:dyDescent="0.3">
      <c r="A7" s="38" cm="1">
        <f t="array" ref="A7">DATE($A$3, MONTH($A$2&amp;1), ROW($A7:A7)-3)</f>
        <v>46360</v>
      </c>
      <c r="B7" s="70" t="str">
        <f t="shared" si="0"/>
        <v>pt</v>
      </c>
      <c r="C7" s="71"/>
      <c r="D7" s="71"/>
      <c r="E7" s="72" t="str">
        <f t="shared" si="1"/>
        <v/>
      </c>
      <c r="F7" s="73"/>
      <c r="G7" s="1" t="str">
        <f>IF('Styczeń 2026'!$B$51=1,IFERROR(IF(E7&lt;&gt;"",IF(AND(D7-C7&lt;1/3,B7&lt;&gt;"sob",B7&lt;&gt;"niedz"),"Niedogodziny","Nadgodziny"),""),""),"")</f>
        <v/>
      </c>
      <c r="H7" s="23" t="str">
        <f>IF('Styczeń 2026'!$B$51=1,IFERROR(IF(AND(E7&lt;&gt;"",OR(B7="sob",B7="niedz")),E7,IF(AND(E7&lt;&gt;"",1/3-E7&gt;0),1/3-E7,IF(AND(E7&lt;&gt;"",E7-1/3&gt;=0),E7-1/3,""))),""),"")</f>
        <v/>
      </c>
    </row>
    <row r="8" spans="1:8" x14ac:dyDescent="0.3">
      <c r="A8" s="38" cm="1">
        <f t="array" ref="A8">DATE($A$3, MONTH($A$2&amp;1), ROW($A8:A8)-3)</f>
        <v>46361</v>
      </c>
      <c r="B8" s="49" t="str">
        <f t="shared" si="0"/>
        <v>sob</v>
      </c>
      <c r="C8" s="48"/>
      <c r="D8" s="48"/>
      <c r="E8" s="51" t="str">
        <f t="shared" si="1"/>
        <v/>
      </c>
      <c r="F8" s="52"/>
      <c r="G8" s="1" t="str">
        <f>IF('Styczeń 2026'!$B$51=1,IFERROR(IF(E8&lt;&gt;"",IF(AND(D8-C8&lt;1/3,B8&lt;&gt;"sob",B8&lt;&gt;"niedz"),"Niedogodziny","Nadgodziny"),""),""),"")</f>
        <v/>
      </c>
      <c r="H8" s="23" t="str">
        <f>IF('Styczeń 2026'!$B$51=1,IFERROR(IF(AND(E8&lt;&gt;"",OR(B8="sob",B8="niedz")),E8,IF(AND(E8&lt;&gt;"",1/3-E8&gt;0),1/3-E8,IF(AND(E8&lt;&gt;"",E8-1/3&gt;=0),E8-1/3,""))),""),"")</f>
        <v/>
      </c>
    </row>
    <row r="9" spans="1:8" x14ac:dyDescent="0.3">
      <c r="A9" s="38" cm="1">
        <f t="array" ref="A9">DATE($A$3, MONTH($A$2&amp;1), ROW($A9:A9)-3)</f>
        <v>46362</v>
      </c>
      <c r="B9" s="49" t="str">
        <f t="shared" si="0"/>
        <v>niedz</v>
      </c>
      <c r="C9" s="51"/>
      <c r="D9" s="51"/>
      <c r="E9" s="51" t="str">
        <f t="shared" si="1"/>
        <v/>
      </c>
      <c r="F9" s="52"/>
      <c r="G9" s="1" t="str">
        <f>IF('Styczeń 2026'!$B$51=1,IFERROR(IF(E9&lt;&gt;"",IF(AND(D9-C9&lt;1/3,B9&lt;&gt;"sob",B9&lt;&gt;"niedz"),"Niedogodziny","Nadgodziny"),""),""),"")</f>
        <v/>
      </c>
      <c r="H9" s="23" t="str">
        <f>IF('Styczeń 2026'!$B$51=1,IFERROR(IF(AND(E9&lt;&gt;"",OR(B9="sob",B9="niedz")),E9,IF(AND(E9&lt;&gt;"",1/3-E9&gt;0),1/3-E9,IF(AND(E9&lt;&gt;"",E9-1/3&gt;=0),E9-1/3,""))),""),"")</f>
        <v/>
      </c>
    </row>
    <row r="10" spans="1:8" x14ac:dyDescent="0.3">
      <c r="A10" s="38" cm="1">
        <f t="array" ref="A10">DATE($A$3, MONTH($A$2&amp;1), ROW($A10:A10)-3)</f>
        <v>46363</v>
      </c>
      <c r="B10" s="70" t="str">
        <f t="shared" si="0"/>
        <v>pon</v>
      </c>
      <c r="C10" s="71"/>
      <c r="D10" s="71"/>
      <c r="E10" s="72" t="str">
        <f t="shared" si="1"/>
        <v/>
      </c>
      <c r="F10" s="67"/>
      <c r="G10" s="1" t="str">
        <f>IF('Styczeń 2026'!$B$51=1,IFERROR(IF(E10&lt;&gt;"",IF(AND(D10-C10&lt;1/3,B10&lt;&gt;"sob",B10&lt;&gt;"niedz"),"Niedogodziny","Nadgodziny"),""),""),"")</f>
        <v/>
      </c>
      <c r="H10" s="23" t="str">
        <f>IF('Styczeń 2026'!$B$51=1,IFERROR(IF(AND(E10&lt;&gt;"",OR(B10="sob",B10="niedz")),E10,IF(AND(E10&lt;&gt;"",1/3-E10&gt;0),1/3-E10,IF(AND(E10&lt;&gt;"",E10-1/3&gt;=0),E10-1/3,""))),""),"")</f>
        <v/>
      </c>
    </row>
    <row r="11" spans="1:8" x14ac:dyDescent="0.3">
      <c r="A11" s="38" cm="1">
        <f t="array" ref="A11">DATE($A$3, MONTH($A$2&amp;1), ROW($A11:A11)-3)</f>
        <v>46364</v>
      </c>
      <c r="B11" s="70" t="str">
        <f t="shared" si="0"/>
        <v>wt</v>
      </c>
      <c r="C11" s="71"/>
      <c r="D11" s="71"/>
      <c r="E11" s="72" t="str">
        <f t="shared" si="1"/>
        <v/>
      </c>
      <c r="F11" s="67"/>
      <c r="G11" s="1" t="str">
        <f>IF('Styczeń 2026'!$B$51=1,IFERROR(IF(E11&lt;&gt;"",IF(AND(D11-C11&lt;1/3,B11&lt;&gt;"sob",B11&lt;&gt;"niedz"),"Niedogodziny","Nadgodziny"),""),""),"")</f>
        <v/>
      </c>
      <c r="H11" s="23" t="str">
        <f>IF('Styczeń 2026'!$B$51=1,IFERROR(IF(AND(E11&lt;&gt;"",OR(B11="sob",B11="niedz")),E11,IF(AND(E11&lt;&gt;"",1/3-E11&gt;0),1/3-E11,IF(AND(E11&lt;&gt;"",E11-1/3&gt;=0),E11-1/3,""))),""),"")</f>
        <v/>
      </c>
    </row>
    <row r="12" spans="1:8" x14ac:dyDescent="0.3">
      <c r="A12" s="38" cm="1">
        <f t="array" ref="A12">DATE($A$3, MONTH($A$2&amp;1), ROW($A12:A12)-3)</f>
        <v>46365</v>
      </c>
      <c r="B12" s="70" t="str">
        <f t="shared" si="0"/>
        <v>śr</v>
      </c>
      <c r="C12" s="71"/>
      <c r="D12" s="71"/>
      <c r="E12" s="72" t="str">
        <f t="shared" si="1"/>
        <v/>
      </c>
      <c r="F12" s="73"/>
      <c r="G12" s="1" t="str">
        <f>IF('Styczeń 2026'!$B$51=1,IFERROR(IF(E12&lt;&gt;"",IF(AND(D12-C12&lt;1/3,B12&lt;&gt;"sob",B12&lt;&gt;"niedz"),"Niedogodziny","Nadgodziny"),""),""),"")</f>
        <v/>
      </c>
      <c r="H12" s="23" t="str">
        <f>IF('Styczeń 2026'!$B$51=1,IFERROR(IF(AND(E12&lt;&gt;"",OR(B12="sob",B12="niedz")),E12,IF(AND(E12&lt;&gt;"",1/3-E12&gt;0),1/3-E12,IF(AND(E12&lt;&gt;"",E12-1/3&gt;=0),E12-1/3,""))),""),"")</f>
        <v/>
      </c>
    </row>
    <row r="13" spans="1:8" x14ac:dyDescent="0.3">
      <c r="A13" s="38" cm="1">
        <f t="array" ref="A13">DATE($A$3, MONTH($A$2&amp;1), ROW($A13:A13)-3)</f>
        <v>46366</v>
      </c>
      <c r="B13" s="70" t="str">
        <f t="shared" si="0"/>
        <v>czw</v>
      </c>
      <c r="C13" s="71"/>
      <c r="D13" s="71"/>
      <c r="E13" s="72" t="str">
        <f t="shared" si="1"/>
        <v/>
      </c>
      <c r="F13" s="73"/>
      <c r="G13" s="1" t="str">
        <f>IF('Styczeń 2026'!$B$51=1,IFERROR(IF(E13&lt;&gt;"",IF(AND(D13-C13&lt;1/3,B13&lt;&gt;"sob",B13&lt;&gt;"niedz"),"Niedogodziny","Nadgodziny"),""),""),"")</f>
        <v/>
      </c>
      <c r="H13" s="23" t="str">
        <f>IF('Styczeń 2026'!$B$51=1,IFERROR(IF(AND(E13&lt;&gt;"",OR(B13="sob",B13="niedz")),E13,IF(AND(E13&lt;&gt;"",1/3-E13&gt;0),1/3-E13,IF(AND(E13&lt;&gt;"",E13-1/3&gt;=0),E13-1/3,""))),""),"")</f>
        <v/>
      </c>
    </row>
    <row r="14" spans="1:8" x14ac:dyDescent="0.3">
      <c r="A14" s="38" cm="1">
        <f t="array" ref="A14">DATE($A$3, MONTH($A$2&amp;1), ROW($A14:A14)-3)</f>
        <v>46367</v>
      </c>
      <c r="B14" s="70" t="str">
        <f t="shared" si="0"/>
        <v>pt</v>
      </c>
      <c r="C14" s="71"/>
      <c r="D14" s="71"/>
      <c r="E14" s="72" t="str">
        <f t="shared" si="1"/>
        <v/>
      </c>
      <c r="F14" s="73"/>
      <c r="G14" s="1" t="str">
        <f>IF('Styczeń 2026'!$B$51=1,IFERROR(IF(E14&lt;&gt;"",IF(AND(D14-C14&lt;1/3,B14&lt;&gt;"sob",B14&lt;&gt;"niedz"),"Niedogodziny","Nadgodziny"),""),""),"")</f>
        <v/>
      </c>
      <c r="H14" s="23" t="str">
        <f>IF('Styczeń 2026'!$B$51=1,IFERROR(IF(AND(E14&lt;&gt;"",OR(B14="sob",B14="niedz")),E14,IF(AND(E14&lt;&gt;"",1/3-E14&gt;0),1/3-E14,IF(AND(E14&lt;&gt;"",E14-1/3&gt;=0),E14-1/3,""))),""),"")</f>
        <v/>
      </c>
    </row>
    <row r="15" spans="1:8" x14ac:dyDescent="0.3">
      <c r="A15" s="38" cm="1">
        <f t="array" ref="A15">DATE($A$3, MONTH($A$2&amp;1), ROW($A15:A15)-3)</f>
        <v>46368</v>
      </c>
      <c r="B15" s="49" t="str">
        <f t="shared" si="0"/>
        <v>sob</v>
      </c>
      <c r="C15" s="48"/>
      <c r="D15" s="48"/>
      <c r="E15" s="51" t="str">
        <f t="shared" si="1"/>
        <v/>
      </c>
      <c r="F15" s="52"/>
      <c r="G15" s="1" t="str">
        <f>IF('Styczeń 2026'!$B$51=1,IFERROR(IF(E15&lt;&gt;"",IF(AND(D15-C15&lt;1/3,B15&lt;&gt;"sob",B15&lt;&gt;"niedz"),"Niedogodziny","Nadgodziny"),""),""),"")</f>
        <v/>
      </c>
      <c r="H15" s="23" t="str">
        <f>IF('Styczeń 2026'!$B$51=1,IFERROR(IF(AND(E15&lt;&gt;"",OR(B15="sob",B15="niedz")),E15,IF(AND(E15&lt;&gt;"",1/3-E15&gt;0),1/3-E15,IF(AND(E15&lt;&gt;"",E15-1/3&gt;=0),E15-1/3,""))),""),"")</f>
        <v/>
      </c>
    </row>
    <row r="16" spans="1:8" x14ac:dyDescent="0.3">
      <c r="A16" s="38" cm="1">
        <f t="array" ref="A16">DATE($A$3, MONTH($A$2&amp;1), ROW($A16:A16)-3)</f>
        <v>46369</v>
      </c>
      <c r="B16" s="49" t="str">
        <f t="shared" si="0"/>
        <v>niedz</v>
      </c>
      <c r="C16" s="48"/>
      <c r="D16" s="48"/>
      <c r="E16" s="51" t="str">
        <f t="shared" si="1"/>
        <v/>
      </c>
      <c r="F16" s="52"/>
      <c r="G16" s="1" t="str">
        <f>IF('Styczeń 2026'!$B$51=1,IFERROR(IF(E16&lt;&gt;"",IF(AND(D16-C16&lt;1/3,B16&lt;&gt;"sob",B16&lt;&gt;"niedz"),"Niedogodziny","Nadgodziny"),""),""),"")</f>
        <v/>
      </c>
      <c r="H16" s="23" t="str">
        <f>IF('Styczeń 2026'!$B$51=1,IFERROR(IF(AND(E16&lt;&gt;"",OR(B16="sob",B16="niedz")),E16,IF(AND(E16&lt;&gt;"",1/3-E16&gt;0),1/3-E16,IF(AND(E16&lt;&gt;"",E16-1/3&gt;=0),E16-1/3,""))),""),"")</f>
        <v/>
      </c>
    </row>
    <row r="17" spans="1:8" x14ac:dyDescent="0.3">
      <c r="A17" s="38" cm="1">
        <f t="array" ref="A17">DATE($A$3, MONTH($A$2&amp;1), ROW($A17:A17)-3)</f>
        <v>46370</v>
      </c>
      <c r="B17" s="70" t="str">
        <f t="shared" si="0"/>
        <v>pon</v>
      </c>
      <c r="C17" s="71"/>
      <c r="D17" s="71"/>
      <c r="E17" s="72" t="str">
        <f t="shared" si="1"/>
        <v/>
      </c>
      <c r="F17" s="67"/>
      <c r="G17" s="1" t="str">
        <f>IF('Styczeń 2026'!$B$51=1,IFERROR(IF(E17&lt;&gt;"",IF(AND(D17-C17&lt;1/3,B17&lt;&gt;"sob",B17&lt;&gt;"niedz"),"Niedogodziny","Nadgodziny"),""),""),"")</f>
        <v/>
      </c>
      <c r="H17" s="23" t="str">
        <f>IF('Styczeń 2026'!$B$51=1,IFERROR(IF(AND(E17&lt;&gt;"",OR(B17="sob",B17="niedz")),E17,IF(AND(E17&lt;&gt;"",1/3-E17&gt;0),1/3-E17,IF(AND(E17&lt;&gt;"",E17-1/3&gt;=0),E17-1/3,""))),""),"")</f>
        <v/>
      </c>
    </row>
    <row r="18" spans="1:8" x14ac:dyDescent="0.3">
      <c r="A18" s="38" cm="1">
        <f t="array" ref="A18">DATE($A$3, MONTH($A$2&amp;1), ROW($A18:A18)-3)</f>
        <v>46371</v>
      </c>
      <c r="B18" s="70" t="str">
        <f t="shared" si="0"/>
        <v>wt</v>
      </c>
      <c r="C18" s="71"/>
      <c r="D18" s="71"/>
      <c r="E18" s="72" t="str">
        <f t="shared" si="1"/>
        <v/>
      </c>
      <c r="F18" s="67"/>
      <c r="G18" s="1" t="str">
        <f>IF('Styczeń 2026'!$B$51=1,IFERROR(IF(E18&lt;&gt;"",IF(AND(D18-C18&lt;1/3,B18&lt;&gt;"sob",B18&lt;&gt;"niedz"),"Niedogodziny","Nadgodziny"),""),""),"")</f>
        <v/>
      </c>
      <c r="H18" s="23" t="str">
        <f>IF('Styczeń 2026'!$B$51=1,IFERROR(IF(AND(E18&lt;&gt;"",OR(B18="sob",B18="niedz")),E18,IF(AND(E18&lt;&gt;"",1/3-E18&gt;0),1/3-E18,IF(AND(E18&lt;&gt;"",E18-1/3&gt;=0),E18-1/3,""))),""),"")</f>
        <v/>
      </c>
    </row>
    <row r="19" spans="1:8" x14ac:dyDescent="0.3">
      <c r="A19" s="38" cm="1">
        <f t="array" ref="A19">DATE($A$3, MONTH($A$2&amp;1), ROW($A19:A19)-3)</f>
        <v>46372</v>
      </c>
      <c r="B19" s="70" t="str">
        <f t="shared" si="0"/>
        <v>śr</v>
      </c>
      <c r="C19" s="71"/>
      <c r="D19" s="71"/>
      <c r="E19" s="72" t="str">
        <f t="shared" si="1"/>
        <v/>
      </c>
      <c r="F19" s="73"/>
      <c r="G19" s="1" t="str">
        <f>IF('Styczeń 2026'!$B$51=1,IFERROR(IF(E19&lt;&gt;"",IF(AND(D19-C19&lt;1/3,B19&lt;&gt;"sob",B19&lt;&gt;"niedz"),"Niedogodziny","Nadgodziny"),""),""),"")</f>
        <v/>
      </c>
      <c r="H19" s="23" t="str">
        <f>IF('Styczeń 2026'!$B$51=1,IFERROR(IF(AND(E19&lt;&gt;"",OR(B19="sob",B19="niedz")),E19,IF(AND(E19&lt;&gt;"",1/3-E19&gt;0),1/3-E19,IF(AND(E19&lt;&gt;"",E19-1/3&gt;=0),E19-1/3,""))),""),"")</f>
        <v/>
      </c>
    </row>
    <row r="20" spans="1:8" x14ac:dyDescent="0.3">
      <c r="A20" s="38" cm="1">
        <f t="array" ref="A20">DATE($A$3, MONTH($A$2&amp;1), ROW($A20:A20)-3)</f>
        <v>46373</v>
      </c>
      <c r="B20" s="70" t="str">
        <f t="shared" si="0"/>
        <v>czw</v>
      </c>
      <c r="C20" s="71"/>
      <c r="D20" s="71"/>
      <c r="E20" s="72" t="str">
        <f t="shared" si="1"/>
        <v/>
      </c>
      <c r="F20" s="73"/>
      <c r="G20" s="1" t="str">
        <f>IF('Styczeń 2026'!$B$51=1,IFERROR(IF(E20&lt;&gt;"",IF(AND(D20-C20&lt;1/3,B20&lt;&gt;"sob",B20&lt;&gt;"niedz"),"Niedogodziny","Nadgodziny"),""),""),"")</f>
        <v/>
      </c>
      <c r="H20" s="23" t="str">
        <f>IF('Styczeń 2026'!$B$51=1,IFERROR(IF(AND(E20&lt;&gt;"",OR(B20="sob",B20="niedz")),E20,IF(AND(E20&lt;&gt;"",1/3-E20&gt;0),1/3-E20,IF(AND(E20&lt;&gt;"",E20-1/3&gt;=0),E20-1/3,""))),""),"")</f>
        <v/>
      </c>
    </row>
    <row r="21" spans="1:8" x14ac:dyDescent="0.3">
      <c r="A21" s="38" cm="1">
        <f t="array" ref="A21">DATE($A$3, MONTH($A$2&amp;1), ROW($A21:A21)-3)</f>
        <v>46374</v>
      </c>
      <c r="B21" s="70" t="str">
        <f t="shared" si="0"/>
        <v>pt</v>
      </c>
      <c r="C21" s="71"/>
      <c r="D21" s="71"/>
      <c r="E21" s="72" t="str">
        <f t="shared" si="1"/>
        <v/>
      </c>
      <c r="F21" s="73"/>
      <c r="G21" s="1" t="str">
        <f>IF('Styczeń 2026'!$B$51=1,IFERROR(IF(E21&lt;&gt;"",IF(AND(D21-C21&lt;1/3,B21&lt;&gt;"sob",B21&lt;&gt;"niedz"),"Niedogodziny","Nadgodziny"),""),""),"")</f>
        <v/>
      </c>
      <c r="H21" s="23" t="str">
        <f>IF('Styczeń 2026'!$B$51=1,IFERROR(IF(AND(E21&lt;&gt;"",OR(B21="sob",B21="niedz")),E21,IF(AND(E21&lt;&gt;"",1/3-E21&gt;0),1/3-E21,IF(AND(E21&lt;&gt;"",E21-1/3&gt;=0),E21-1/3,""))),""),"")</f>
        <v/>
      </c>
    </row>
    <row r="22" spans="1:8" x14ac:dyDescent="0.3">
      <c r="A22" s="38" cm="1">
        <f t="array" ref="A22">DATE($A$3, MONTH($A$2&amp;1), ROW($A22:A22)-3)</f>
        <v>46375</v>
      </c>
      <c r="B22" s="49" t="str">
        <f t="shared" si="0"/>
        <v>sob</v>
      </c>
      <c r="C22" s="48"/>
      <c r="D22" s="48"/>
      <c r="E22" s="51" t="str">
        <f t="shared" si="1"/>
        <v/>
      </c>
      <c r="F22" s="52"/>
      <c r="G22" s="1" t="str">
        <f>IF('Styczeń 2026'!$B$51=1,IFERROR(IF(E22&lt;&gt;"",IF(AND(D22-C22&lt;1/3,B22&lt;&gt;"sob",B22&lt;&gt;"niedz"),"Niedogodziny","Nadgodziny"),""),""),"")</f>
        <v/>
      </c>
      <c r="H22" s="23" t="str">
        <f>IF('Styczeń 2026'!$B$51=1,IFERROR(IF(AND(E22&lt;&gt;"",OR(B22="sob",B22="niedz")),E22,IF(AND(E22&lt;&gt;"",1/3-E22&gt;0),1/3-E22,IF(AND(E22&lt;&gt;"",E22-1/3&gt;=0),E22-1/3,""))),""),"")</f>
        <v/>
      </c>
    </row>
    <row r="23" spans="1:8" x14ac:dyDescent="0.3">
      <c r="A23" s="38" cm="1">
        <f t="array" ref="A23">DATE($A$3, MONTH($A$2&amp;1), ROW($A23:A23)-3)</f>
        <v>46376</v>
      </c>
      <c r="B23" s="49" t="str">
        <f t="shared" si="0"/>
        <v>niedz</v>
      </c>
      <c r="C23" s="48"/>
      <c r="D23" s="48"/>
      <c r="E23" s="51" t="str">
        <f t="shared" si="1"/>
        <v/>
      </c>
      <c r="F23" s="52"/>
      <c r="G23" s="1" t="str">
        <f>IF('Styczeń 2026'!$B$51=1,IFERROR(IF(E23&lt;&gt;"",IF(AND(D23-C23&lt;1/3,B23&lt;&gt;"sob",B23&lt;&gt;"niedz"),"Niedogodziny","Nadgodziny"),""),""),"")</f>
        <v/>
      </c>
      <c r="H23" s="23" t="str">
        <f>IF('Styczeń 2026'!$B$51=1,IFERROR(IF(AND(E23&lt;&gt;"",OR(B23="sob",B23="niedz")),E23,IF(AND(E23&lt;&gt;"",1/3-E23&gt;0),1/3-E23,IF(AND(E23&lt;&gt;"",E23-1/3&gt;=0),E23-1/3,""))),""),"")</f>
        <v/>
      </c>
    </row>
    <row r="24" spans="1:8" x14ac:dyDescent="0.3">
      <c r="A24" s="38" cm="1">
        <f t="array" ref="A24">DATE($A$3, MONTH($A$2&amp;1), ROW($A24:A24)-3)</f>
        <v>46377</v>
      </c>
      <c r="B24" s="70" t="str">
        <f t="shared" si="0"/>
        <v>pon</v>
      </c>
      <c r="C24" s="75"/>
      <c r="D24" s="71"/>
      <c r="E24" s="72" t="str">
        <f t="shared" si="1"/>
        <v/>
      </c>
      <c r="F24" s="67"/>
      <c r="G24" s="1" t="str">
        <f>IF('Styczeń 2026'!$B$51=1,IFERROR(IF(E24&lt;&gt;"",IF(AND(D24-C24&lt;1/3,B24&lt;&gt;"sob",B24&lt;&gt;"niedz"),"Niedogodziny","Nadgodziny"),""),""),"")</f>
        <v/>
      </c>
      <c r="H24" s="23" t="str">
        <f>IF('Styczeń 2026'!$B$51=1,IFERROR(IF(AND(E24&lt;&gt;"",OR(B24="sob",B24="niedz")),E24,IF(AND(E24&lt;&gt;"",1/3-E24&gt;0),1/3-E24,IF(AND(E24&lt;&gt;"",E24-1/3&gt;=0),E24-1/3,""))),""),"")</f>
        <v/>
      </c>
    </row>
    <row r="25" spans="1:8" x14ac:dyDescent="0.3">
      <c r="A25" s="38" cm="1">
        <f t="array" ref="A25">DATE($A$3, MONTH($A$2&amp;1), ROW($A25:A25)-3)</f>
        <v>46378</v>
      </c>
      <c r="B25" s="70" t="str">
        <f t="shared" si="0"/>
        <v>wt</v>
      </c>
      <c r="C25" s="71"/>
      <c r="D25" s="71"/>
      <c r="E25" s="72" t="str">
        <f t="shared" si="1"/>
        <v/>
      </c>
      <c r="F25" s="67"/>
      <c r="G25" s="1" t="str">
        <f>IF('Styczeń 2026'!$B$51=1,IFERROR(IF(E25&lt;&gt;"",IF(AND(D25-C25&lt;1/3,B25&lt;&gt;"sob",B25&lt;&gt;"niedz"),"Niedogodziny","Nadgodziny"),""),""),"")</f>
        <v/>
      </c>
      <c r="H25" s="23" t="str">
        <f>IF('Styczeń 2026'!$B$51=1,IFERROR(IF(AND(E25&lt;&gt;"",OR(B25="sob",B25="niedz")),E25,IF(AND(E25&lt;&gt;"",1/3-E25&gt;0),1/3-E25,IF(AND(E25&lt;&gt;"",E25-1/3&gt;=0),E25-1/3,""))),""),"")</f>
        <v/>
      </c>
    </row>
    <row r="26" spans="1:8" x14ac:dyDescent="0.3">
      <c r="A26" s="38" cm="1">
        <f t="array" ref="A26">DATE($A$3, MONTH($A$2&amp;1), ROW($A26:A26)-3)</f>
        <v>46379</v>
      </c>
      <c r="B26" s="70" t="str">
        <f t="shared" si="0"/>
        <v>śr</v>
      </c>
      <c r="C26" s="71"/>
      <c r="D26" s="71"/>
      <c r="E26" s="72" t="str">
        <f t="shared" si="1"/>
        <v/>
      </c>
      <c r="F26" s="73"/>
      <c r="G26" s="1" t="str">
        <f>IF('Styczeń 2026'!$B$51=1,IFERROR(IF(E26&lt;&gt;"",IF(AND(D26-C26&lt;1/3,B26&lt;&gt;"sob",B26&lt;&gt;"niedz"),"Niedogodziny","Nadgodziny"),""),""),"")</f>
        <v/>
      </c>
      <c r="H26" s="23" t="str">
        <f>IF('Styczeń 2026'!$B$51=1,IFERROR(IF(AND(E26&lt;&gt;"",OR(B26="sob",B26="niedz")),E26,IF(AND(E26&lt;&gt;"",1/3-E26&gt;0),1/3-E26,IF(AND(E26&lt;&gt;"",E26-1/3&gt;=0),E26-1/3,""))),""),"")</f>
        <v/>
      </c>
    </row>
    <row r="27" spans="1:8" x14ac:dyDescent="0.3">
      <c r="A27" s="38" cm="1">
        <f t="array" ref="A27">DATE($A$3, MONTH($A$2&amp;1), ROW($A27:A27)-3)</f>
        <v>46380</v>
      </c>
      <c r="B27" s="70" t="str">
        <f t="shared" si="0"/>
        <v>czw</v>
      </c>
      <c r="C27" s="72"/>
      <c r="D27" s="72"/>
      <c r="E27" s="72" t="str">
        <f t="shared" si="1"/>
        <v/>
      </c>
      <c r="F27" s="73"/>
      <c r="G27" s="1" t="str">
        <f>IF('Styczeń 2026'!$B$51=1,IFERROR(IF(E27&lt;&gt;"",IF(AND(D27-C27&lt;1/3,B27&lt;&gt;"sob",B27&lt;&gt;"niedz"),"Niedogodziny","Nadgodziny"),""),""),"")</f>
        <v/>
      </c>
      <c r="H27" s="23" t="str">
        <f>IF('Styczeń 2026'!$B$51=1,IFERROR(IF(AND(E27&lt;&gt;"",OR(B27="sob",B27="niedz")),E27,IF(AND(E27&lt;&gt;"",1/3-E27&gt;0),1/3-E27,IF(AND(E27&lt;&gt;"",E27-1/3&gt;=0),E27-1/3,""))),""),"")</f>
        <v/>
      </c>
    </row>
    <row r="28" spans="1:8" x14ac:dyDescent="0.3">
      <c r="A28" s="38" cm="1">
        <f t="array" ref="A28">DATE($A$3, MONTH($A$2&amp;1), ROW($A28:A28)-3)</f>
        <v>46381</v>
      </c>
      <c r="B28" s="70" t="str">
        <f t="shared" si="0"/>
        <v>pt</v>
      </c>
      <c r="C28" s="72"/>
      <c r="D28" s="72"/>
      <c r="E28" s="72" t="str">
        <f t="shared" si="1"/>
        <v/>
      </c>
      <c r="F28" s="76"/>
      <c r="G28" s="1" t="str">
        <f>IF('Styczeń 2026'!$B$51=1,IFERROR(IF(E28&lt;&gt;"",IF(AND(D28-C28&lt;1/3,B28&lt;&gt;"sob",B28&lt;&gt;"niedz"),"Niedogodziny","Nadgodziny"),""),""),"")</f>
        <v/>
      </c>
      <c r="H28" s="23" t="str">
        <f>IF('Styczeń 2026'!$B$51=1,IFERROR(IF(AND(E28&lt;&gt;"",OR(B28="sob",B28="niedz")),E28,IF(AND(E28&lt;&gt;"",1/3-E28&gt;0),1/3-E28,IF(AND(E28&lt;&gt;"",E28-1/3&gt;=0),E28-1/3,""))),""),"")</f>
        <v/>
      </c>
    </row>
    <row r="29" spans="1:8" x14ac:dyDescent="0.3">
      <c r="A29" s="38" cm="1">
        <f t="array" ref="A29">DATE($A$3, MONTH($A$2&amp;1), ROW($A29:A29)-3)</f>
        <v>46382</v>
      </c>
      <c r="B29" s="49" t="str">
        <f t="shared" si="0"/>
        <v>sob</v>
      </c>
      <c r="C29" s="48"/>
      <c r="D29" s="48"/>
      <c r="E29" s="51" t="str">
        <f t="shared" si="1"/>
        <v/>
      </c>
      <c r="F29" s="62"/>
      <c r="G29" s="1" t="str">
        <f>IF('Styczeń 2026'!$B$51=1,IFERROR(IF(E29&lt;&gt;"",IF(AND(D29-C29&lt;1/3,B29&lt;&gt;"sob",B29&lt;&gt;"niedz"),"Niedogodziny","Nadgodziny"),""),""),"")</f>
        <v/>
      </c>
      <c r="H29" s="23" t="str">
        <f>IF('Styczeń 2026'!$B$51=1,IFERROR(IF(AND(E29&lt;&gt;"",OR(B29="sob",B29="niedz")),E29,IF(AND(E29&lt;&gt;"",1/3-E29&gt;0),1/3-E29,IF(AND(E29&lt;&gt;"",E29-1/3&gt;=0),E29-1/3,""))),""),"")</f>
        <v/>
      </c>
    </row>
    <row r="30" spans="1:8" x14ac:dyDescent="0.3">
      <c r="A30" s="38" cm="1">
        <f t="array" ref="A30">DATE($A$3, MONTH($A$2&amp;1), ROW($A30:A30)-3)</f>
        <v>46383</v>
      </c>
      <c r="B30" s="49" t="str">
        <f t="shared" si="0"/>
        <v>niedz</v>
      </c>
      <c r="C30" s="48"/>
      <c r="D30" s="48"/>
      <c r="E30" s="51" t="str">
        <f t="shared" si="1"/>
        <v/>
      </c>
      <c r="F30" s="47"/>
      <c r="G30" s="1" t="str">
        <f>IF('Styczeń 2026'!$B$51=1,IFERROR(IF(E30&lt;&gt;"",IF(AND(D30-C30&lt;1/3,B30&lt;&gt;"sob",B30&lt;&gt;"niedz"),"Niedogodziny","Nadgodziny"),""),""),"")</f>
        <v/>
      </c>
      <c r="H30" s="23" t="str">
        <f>IF('Styczeń 2026'!$B$51=1,IFERROR(IF(AND(E30&lt;&gt;"",OR(B30="sob",B30="niedz")),E30,IF(AND(E30&lt;&gt;"",1/3-E30&gt;0),1/3-E30,IF(AND(E30&lt;&gt;"",E30-1/3&gt;=0),E30-1/3,""))),""),"")</f>
        <v/>
      </c>
    </row>
    <row r="31" spans="1:8" x14ac:dyDescent="0.3">
      <c r="A31" s="38" cm="1">
        <f t="array" ref="A31">DATE($A$3, MONTH($A$2&amp;1), ROW($A31:A31)-3)</f>
        <v>46384</v>
      </c>
      <c r="B31" s="70" t="str">
        <f t="shared" si="0"/>
        <v>pon</v>
      </c>
      <c r="C31" s="71"/>
      <c r="D31" s="71"/>
      <c r="E31" s="72" t="str">
        <f t="shared" si="1"/>
        <v/>
      </c>
      <c r="F31" s="67"/>
      <c r="G31" s="1" t="str">
        <f>IF('Styczeń 2026'!$B$51=1,IFERROR(IF(E31&lt;&gt;"",IF(AND(D31-C31&lt;1/3,B31&lt;&gt;"sob",B31&lt;&gt;"niedz"),"Niedogodziny","Nadgodziny"),""),""),"")</f>
        <v/>
      </c>
      <c r="H31" s="23" t="str">
        <f>IF('Styczeń 2026'!$B$51=1,IFERROR(IF(AND(E31&lt;&gt;"",OR(B31="sob",B31="niedz")),E31,IF(AND(E31&lt;&gt;"",1/3-E31&gt;0),1/3-E31,IF(AND(E31&lt;&gt;"",E31-1/3&gt;=0),E31-1/3,""))),""),"")</f>
        <v/>
      </c>
    </row>
    <row r="32" spans="1:8" x14ac:dyDescent="0.3">
      <c r="A32" s="38" cm="1">
        <f t="array" ref="A32">DATE($A$3, MONTH($A$2&amp;1), ROW($A32:A32)-3)</f>
        <v>46385</v>
      </c>
      <c r="B32" s="70" t="str">
        <f t="shared" si="0"/>
        <v>wt</v>
      </c>
      <c r="C32" s="71"/>
      <c r="D32" s="71"/>
      <c r="E32" s="72" t="str">
        <f t="shared" si="1"/>
        <v/>
      </c>
      <c r="F32" s="67"/>
      <c r="G32" s="1" t="str">
        <f>IF('Styczeń 2026'!$B$51=1,IFERROR(IF(E32&lt;&gt;"",IF(AND(D32-C32&lt;1/3,B32&lt;&gt;"sob",B32&lt;&gt;"niedz"),"Niedogodziny","Nadgodziny"),""),""),"")</f>
        <v/>
      </c>
      <c r="H32" s="23" t="str">
        <f>IF('Styczeń 2026'!$B$51=1,IFERROR(IF(AND(E32&lt;&gt;"",OR(B32="sob",B32="niedz")),E32,IF(AND(E32&lt;&gt;"",1/3-E32&gt;0),1/3-E32,IF(AND(E32&lt;&gt;"",E32-1/3&gt;=0),E32-1/3,""))),""),"")</f>
        <v/>
      </c>
    </row>
    <row r="33" spans="1:8" x14ac:dyDescent="0.3">
      <c r="A33" s="38" cm="1">
        <f t="array" ref="A33">DATE($A$3, MONTH($A$2&amp;1), ROW($A33:A33)-3)</f>
        <v>46386</v>
      </c>
      <c r="B33" s="70" t="str">
        <f t="shared" si="0"/>
        <v>śr</v>
      </c>
      <c r="C33" s="71"/>
      <c r="D33" s="71"/>
      <c r="E33" s="72" t="str">
        <f t="shared" si="1"/>
        <v/>
      </c>
      <c r="F33" s="73"/>
      <c r="G33" s="1" t="str">
        <f>IF('Styczeń 2026'!$B$51=1,IFERROR(IF(E33&lt;&gt;"",IF(AND(D33-C33&lt;1/3,B33&lt;&gt;"sob",B33&lt;&gt;"niedz"),"Niedogodziny","Nadgodziny"),""),""),"")</f>
        <v/>
      </c>
      <c r="H33" s="23" t="str">
        <f>IF('Styczeń 2026'!$B$51=1,IFERROR(IF(AND(E33&lt;&gt;"",OR(B33="sob",B33="niedz")),E33,IF(AND(E33&lt;&gt;"",1/3-E33&gt;0),1/3-E33,IF(AND(E33&lt;&gt;"",E33-1/3&gt;=0),E33-1/3,""))),""),"")</f>
        <v/>
      </c>
    </row>
    <row r="34" spans="1:8" x14ac:dyDescent="0.3">
      <c r="A34" s="38" cm="1">
        <f t="array" ref="A34">DATE($A$3, MONTH($A$2&amp;1), ROW($A34:A34)-3)</f>
        <v>46387</v>
      </c>
      <c r="B34" s="70" t="str">
        <f t="shared" si="0"/>
        <v>czw</v>
      </c>
      <c r="C34" s="71"/>
      <c r="D34" s="71"/>
      <c r="E34" s="72" t="str">
        <f t="shared" si="1"/>
        <v/>
      </c>
      <c r="F34" s="73"/>
      <c r="G34" s="1" t="str">
        <f>IF('Styczeń 2026'!$B$51=1,IFERROR(IF(E34&lt;&gt;"",IF(AND(D34-C34&lt;1/3,B34&lt;&gt;"sob",B34&lt;&gt;"niedz"),"Niedogodziny","Nadgodziny"),""),""),"")</f>
        <v/>
      </c>
      <c r="H34" s="23" t="str">
        <f>IF('Styczeń 2026'!$B$51=1,IFERROR(IF(AND(E34&lt;&gt;"",OR(B34="sob",B34="niedz")),E34,IF(AND(E34&lt;&gt;"",1/3-E34&gt;0),1/3-E34,IF(AND(E34&lt;&gt;"",E34-1/3&gt;=0),E34-1/3,""))),""),"")</f>
        <v/>
      </c>
    </row>
    <row r="35" spans="1:8" x14ac:dyDescent="0.3">
      <c r="A35" s="28" t="s">
        <v>3</v>
      </c>
      <c r="B35" s="28" t="s">
        <v>7</v>
      </c>
      <c r="C35" s="124">
        <f>SUM(E4:E34)</f>
        <v>0</v>
      </c>
      <c r="D35" s="124"/>
      <c r="E35" s="124"/>
      <c r="F35" s="3" t="s">
        <v>7</v>
      </c>
      <c r="G35" s="4" t="str">
        <f>IF(SUMIF(G4:G34,"Nadgodziny",H4:H34) - SUMIF(G4:G34,"Niedogodziny",H4:H34) &gt;= 0,"Nadgodziny (obecny m-c)", "Niedogodziny (obecny m-c)")</f>
        <v>Nadgodziny (obecny m-c)</v>
      </c>
      <c r="H35" s="58">
        <f>IF(SUMIF(G4:G34,"Nadgodziny",H4:H34) - SUMIF(G4:G34,"Niedogodziny",H4:H34) &gt; 0,SUMIF(G4:G34,"Nadgodziny",H4:H34) - SUMIF(G4:G34,"Niedogodziny",H4:H34), SUMIF(G4:G34,"Niedogodziny",H4:H34) - SUMIF(G4:G34,"Nadgodziny",H4:H34))</f>
        <v>0</v>
      </c>
    </row>
    <row r="36" spans="1:8" x14ac:dyDescent="0.3">
      <c r="A36" s="29" t="str">
        <f>IF(OR(ROUND(C35,2)=ROUND(B42*'Styczeń 2026'!$B$51,2),C35&gt;B42*'Styczeń 2026'!$B$51),"DO ODBIORU:","DO ZROBIENIA:")</f>
        <v>DO ZROBIENIA:</v>
      </c>
      <c r="B36" s="30" t="s">
        <v>7</v>
      </c>
      <c r="C36" s="125">
        <f>IF(B42*'Styczeń 2026'!B51-C35&lt;0,C35-B42*'Styczeń 2026'!B51,B42*'Styczeń 2026'!B51-C35)</f>
        <v>7</v>
      </c>
      <c r="D36" s="126"/>
      <c r="E36" s="127"/>
      <c r="F36" s="128"/>
    </row>
    <row r="37" spans="1:8" x14ac:dyDescent="0.3">
      <c r="A37" s="31" t="s">
        <v>4</v>
      </c>
      <c r="B37" s="32" t="s">
        <v>7</v>
      </c>
      <c r="C37" s="94">
        <f>COUNTIF(F:F,"urlop")/3*'Styczeń 2026'!B51</f>
        <v>0</v>
      </c>
      <c r="D37" s="95"/>
      <c r="E37" s="96"/>
      <c r="F37" s="128"/>
    </row>
    <row r="38" spans="1:8" x14ac:dyDescent="0.3">
      <c r="A38" s="33" t="str">
        <f>IF(OR(C36-C37&lt;=0,A36="DO ODBIORU:"),"POZOST. DO ODBIORU","POZOST. DO ZROBIENIA")</f>
        <v>POZOST. DO ZROBIENIA</v>
      </c>
      <c r="B38" s="135" t="s">
        <v>7</v>
      </c>
      <c r="C38" s="129">
        <f>IF(A36="DO ZROBIENIA:",IF(C37-C36&gt;0,C37-C36,C36-C37),C36+C37)</f>
        <v>7</v>
      </c>
      <c r="D38" s="130"/>
      <c r="E38" s="131"/>
      <c r="F38" s="128"/>
    </row>
    <row r="39" spans="1:8" x14ac:dyDescent="0.3">
      <c r="A39" s="60" t="s">
        <v>5</v>
      </c>
      <c r="B39" s="136"/>
      <c r="C39" s="132"/>
      <c r="D39" s="133"/>
      <c r="E39" s="134"/>
      <c r="F39" s="128"/>
    </row>
    <row r="40" spans="1:8" x14ac:dyDescent="0.3">
      <c r="A40" s="34"/>
      <c r="B40" s="34"/>
      <c r="C40" s="34"/>
      <c r="D40" s="34"/>
      <c r="E40" s="34"/>
      <c r="F40" s="34"/>
    </row>
    <row r="41" spans="1:8" x14ac:dyDescent="0.3">
      <c r="A41" s="34"/>
      <c r="B41" s="34"/>
      <c r="C41" s="34"/>
      <c r="D41" s="34"/>
      <c r="E41" s="34"/>
      <c r="F41" s="34"/>
    </row>
    <row r="42" spans="1:8" x14ac:dyDescent="0.3">
      <c r="A42" s="35" t="s">
        <v>6</v>
      </c>
      <c r="B42" s="58">
        <v>7</v>
      </c>
      <c r="C42" s="34"/>
      <c r="D42" s="34"/>
      <c r="E42" s="34"/>
      <c r="F42" s="34"/>
      <c r="G42" s="40"/>
    </row>
    <row r="43" spans="1:8" ht="15" thickBot="1" x14ac:dyDescent="0.35">
      <c r="A43" s="34"/>
      <c r="B43" s="36"/>
      <c r="C43" s="34"/>
      <c r="D43" s="34"/>
      <c r="E43" s="34"/>
      <c r="F43" s="34"/>
      <c r="G43" s="40"/>
    </row>
    <row r="44" spans="1:8" ht="15" thickBot="1" x14ac:dyDescent="0.35">
      <c r="A44" s="16" t="str">
        <f>IF('Styczeń 2026'!B51=1,
IF(AND('Listopad 2026'!A44="Nadgodziny "&amp;A3,A38="POZOST. DO ODBIORU"),"Nadgodziny "&amp;A3,
IF(AND('Listopad 2026'!A44="Niedogodziny "&amp;A3,A38="POZOST. DO ZROBIENIA"),"Niedogodziny "&amp;A3,
IF(AND('Listopad 2026'!A44="Nadgodziny "&amp;A3,A38="POZOST. DO ZROBIENIA"),
IF('Listopad 2026'!B44-C38&lt;0,"Niedogodziny "&amp;A3,"Nadgodziny "&amp;A3),
IF(AND('Listopad 2026'!A44="Niedogodziny "&amp;A3,A38="POZOST. DO ODBIORU"),
IF(C38-'Listopad 2026'!B44&lt;0,"Niedogodziny "&amp;A3,"Nadgodziny "&amp;A3),"błąd")))),
"Nadgodziny "&amp;A3)</f>
        <v>Niedogodziny 2026</v>
      </c>
      <c r="B44" s="59">
        <f>IF('Styczeń 2026'!B51=1,
IFERROR(
IF(AND('Listopad 2026'!A44="Nadgodziny "&amp;A3,A38="POZOST. DO ODBIORU"),'Listopad 2026'!B44+C38,
IF(AND('Listopad 2026'!A44="Niedogodziny "&amp;A3,A38="POZOST. DO ZROBIENIA"),'Listopad 2026'!B44+C38,
IF(AND('Listopad 2026'!A44="Nadgodziny "&amp;A3,A38="POZOST. DO ZROBIENIA",'Listopad 2026'!B44-C38&lt;=0),C38-'Listopad 2026'!B44,
IF(AND('Listopad 2026'!A44="Nadgodziny "&amp;A3,A38="POZOST. DO ZROBIENIA",C38-'Listopad 2026'!B44&lt;=0),'Listopad 2026'!B44-C38,
IF(AND('Listopad 2026'!A44="Niedogodziny "&amp;A3,A38="POZOST. DO ODBIORU",'Listopad 2026'!B44-C38&lt;=0),C38-'Listopad 2026'!B44,
IF(AND('Listopad 2026'!A44="Niedogodziny "&amp;A3,A38="POZOST. DO ODBIORU",C38-'Listopad 2026'!B44&lt;=0),'Listopad 2026'!B44-C38,"błąd")))))),
"błąd"),"-")</f>
        <v>85.333333333333329</v>
      </c>
      <c r="C44" s="34"/>
      <c r="D44" s="34"/>
      <c r="E44" s="34"/>
      <c r="F44" s="34"/>
    </row>
    <row r="45" spans="1:8" x14ac:dyDescent="0.3">
      <c r="A45" s="37"/>
      <c r="B45" s="34"/>
      <c r="C45" s="34"/>
      <c r="D45" s="34"/>
      <c r="E45" s="34"/>
      <c r="F45" s="34"/>
    </row>
    <row r="47" spans="1:8" x14ac:dyDescent="0.3">
      <c r="A47" s="20"/>
    </row>
    <row r="48" spans="1:8" x14ac:dyDescent="0.3">
      <c r="A48" s="20"/>
    </row>
  </sheetData>
  <mergeCells count="8">
    <mergeCell ref="A1:B1"/>
    <mergeCell ref="C1:F2"/>
    <mergeCell ref="C35:E35"/>
    <mergeCell ref="C36:E36"/>
    <mergeCell ref="F36:F39"/>
    <mergeCell ref="C37:E37"/>
    <mergeCell ref="C38:E39"/>
    <mergeCell ref="B38:B39"/>
  </mergeCells>
  <conditionalFormatting sqref="B44">
    <cfRule type="expression" dxfId="5" priority="5">
      <formula>$A$44="nadgodziny " &amp; $A$3</formula>
    </cfRule>
    <cfRule type="expression" dxfId="4" priority="6">
      <formula>$A$44="niedogodziny " &amp; $A$3</formula>
    </cfRule>
  </conditionalFormatting>
  <conditionalFormatting sqref="C38">
    <cfRule type="expression" dxfId="3" priority="3">
      <formula>$A$38="POZOST. DO ODBIORU"</formula>
    </cfRule>
    <cfRule type="expression" dxfId="2" priority="4">
      <formula>$A$38="POZOST. DO ZROBIENIA"</formula>
    </cfRule>
  </conditionalFormatting>
  <conditionalFormatting sqref="H35">
    <cfRule type="expression" dxfId="1" priority="1">
      <formula>$G$35="Nadgodziny (obecny m-c)"</formula>
    </cfRule>
    <cfRule type="expression" dxfId="0" priority="2">
      <formula>$G$35="Niedogodziny (obecny m-c)"</formula>
    </cfRule>
  </conditionalFormatting>
  <dataValidations count="1">
    <dataValidation type="list" allowBlank="1" showInputMessage="1" showErrorMessage="1" sqref="F4:F34" xr:uid="{00000000-0002-0000-0B00-000000000000}">
      <formula1>"biuro,zdalnie,urlop"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Styczeń 2026</vt:lpstr>
      <vt:lpstr>Luty 2026</vt:lpstr>
      <vt:lpstr>Marzec 2026</vt:lpstr>
      <vt:lpstr>Kwiecień 2026</vt:lpstr>
      <vt:lpstr>Maj 2026</vt:lpstr>
      <vt:lpstr>Czerwiec 2026</vt:lpstr>
      <vt:lpstr>Lipiec 2026</vt:lpstr>
      <vt:lpstr>Sierpień 2026</vt:lpstr>
      <vt:lpstr>Wrzesień 2026</vt:lpstr>
      <vt:lpstr>Październik 2026</vt:lpstr>
      <vt:lpstr>Listopad 2026</vt:lpstr>
      <vt:lpstr>Grudzień 2026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Gajewski Piotr ADM [SII sp. z o.o]</dc:creator>
  <cp:keywords/>
  <dc:description/>
  <cp:lastModifiedBy>Piotr Gajewski</cp:lastModifiedBy>
  <cp:revision/>
  <dcterms:created xsi:type="dcterms:W3CDTF">2020-11-17T13:29:11Z</dcterms:created>
  <dcterms:modified xsi:type="dcterms:W3CDTF">2026-08-24T12:27:49Z</dcterms:modified>
  <cp:category/>
  <cp:contentStatus/>
</cp:coreProperties>
</file>